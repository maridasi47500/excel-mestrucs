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s\goudon.marie\Bureau\"/>
    </mc:Choice>
  </mc:AlternateContent>
  <bookViews>
    <workbookView xWindow="0" yWindow="0" windowWidth="28800" windowHeight="13590" activeTab="1"/>
  </bookViews>
  <sheets>
    <sheet name="Feuil1" sheetId="1" r:id="rId1"/>
    <sheet name="Grades" sheetId="2" r:id="rId2"/>
    <sheet name="Resultats" sheetId="3" r:id="rId3"/>
    <sheet name="Utilisateurs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3" l="1"/>
  <c r="I3" i="3"/>
  <c r="H3" i="3"/>
  <c r="K3" i="3"/>
  <c r="J2" i="3" l="1"/>
  <c r="I2" i="3"/>
  <c r="H2" i="3"/>
  <c r="K2" i="3"/>
  <c r="Z300" i="3" l="1"/>
  <c r="Q3" i="3"/>
  <c r="G27" i="1" l="1"/>
  <c r="G18" i="1"/>
</calcChain>
</file>

<file path=xl/sharedStrings.xml><?xml version="1.0" encoding="utf-8"?>
<sst xmlns="http://schemas.openxmlformats.org/spreadsheetml/2006/main" count="280" uniqueCount="63">
  <si>
    <t>¦</t>
  </si>
  <si>
    <t>¡U</t>
  </si>
  <si>
    <t>¡</t>
  </si>
  <si>
    <t>¡¡</t>
  </si>
  <si>
    <t>D:\Profils\goudon.marie\Bureau\grades\1CL.jpg</t>
  </si>
  <si>
    <t>première classe</t>
  </si>
  <si>
    <t>D:\Profils\goudon.marie\Bureau\grades\CPL.jpg</t>
  </si>
  <si>
    <t>D:\Profils\goudon.marie\Bureau\grades\CCH.jpg</t>
  </si>
  <si>
    <t>D:\Profils\goudon.marie\Bureau\grades\SCH.jpg</t>
  </si>
  <si>
    <t>D:\Profils\goudon.marie\Bureau\grades\sltn.jpg</t>
  </si>
  <si>
    <t>D:\Profils\goudon.marie\Bureau\grades\ltn.jpg</t>
  </si>
  <si>
    <t>D:\Profils\goudon.marie\Bureau\grades\cne.jpg</t>
  </si>
  <si>
    <t>D:\Profils\goudon.marie\Bureau\grades\adj.jpg</t>
  </si>
  <si>
    <t>D:\Profils\goudon.marie\Bureau\grades\adc.jpg</t>
  </si>
  <si>
    <t>D:\Profils\goudon.marie\Bureau\grades\mjr.jpg</t>
  </si>
  <si>
    <t>D:\Profils\goudon.marie\Bureau\grades\lcl.jpg</t>
  </si>
  <si>
    <t>D:\Profils\goudon.marie\Bureau\grades\cln.jpg</t>
  </si>
  <si>
    <t>caporal</t>
  </si>
  <si>
    <t>sergent</t>
  </si>
  <si>
    <t>sergent-chef</t>
  </si>
  <si>
    <t>adjudant</t>
  </si>
  <si>
    <t>adjudant-chef</t>
  </si>
  <si>
    <t>major</t>
  </si>
  <si>
    <t>aspirant</t>
  </si>
  <si>
    <t>D:\Profils\goudon.marie\Bureau\grades\asp.jpg</t>
  </si>
  <si>
    <t>sous-lieutenant</t>
  </si>
  <si>
    <t>lieutenant</t>
  </si>
  <si>
    <t>capitaine</t>
  </si>
  <si>
    <t>commandant</t>
  </si>
  <si>
    <t>lieutenant-colonel</t>
  </si>
  <si>
    <t>colonel</t>
  </si>
  <si>
    <t>D:\Profils\goudon.marie\Bureau\grades\commanda.jpg</t>
  </si>
  <si>
    <t>D:\Profils\goudon.marie\Bureau\grades\SGT.jpg</t>
  </si>
  <si>
    <t>D:\Profils\goudon.marie\Bureau\grades\cc1.jpg</t>
  </si>
  <si>
    <t>chef</t>
  </si>
  <si>
    <t>mon adjudant</t>
  </si>
  <si>
    <t>mon adjudant-chef</t>
  </si>
  <si>
    <t>mon lieutenant</t>
  </si>
  <si>
    <t>mon capitaine</t>
  </si>
  <si>
    <t>mon commandant</t>
  </si>
  <si>
    <t>mon colonel</t>
  </si>
  <si>
    <t>bien</t>
  </si>
  <si>
    <t>mal</t>
  </si>
  <si>
    <t>D:\Profils\goudon.marie\Bureau\grades\bien.jpg</t>
  </si>
  <si>
    <t>D:\Profils\goudon.marie\Bureau\grades\mal.jpg</t>
  </si>
  <si>
    <t>caporal-chef</t>
  </si>
  <si>
    <t>caporal-chef de première classe</t>
  </si>
  <si>
    <t>goudon</t>
  </si>
  <si>
    <t>cleo jeanne</t>
  </si>
  <si>
    <t>utilisateur connecté</t>
  </si>
  <si>
    <t>F</t>
  </si>
  <si>
    <t>nb trials</t>
  </si>
  <si>
    <t>nom</t>
  </si>
  <si>
    <t>trouver grade</t>
  </si>
  <si>
    <t>quel est grade</t>
  </si>
  <si>
    <t>appellation</t>
  </si>
  <si>
    <t>date</t>
  </si>
  <si>
    <t>exercice</t>
  </si>
  <si>
    <t>ex</t>
  </si>
  <si>
    <t>mystats</t>
  </si>
  <si>
    <t>1</t>
  </si>
  <si>
    <t>mon message</t>
  </si>
  <si>
    <t>Quitter  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</si>
</sst>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49" fontId="0" fillId="0" borderId="0" xfId="0" applyNumberFormat="1"/>
    <xf numFmtId="14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21</xdr:row>
          <xdr:rowOff>19050</xdr:rowOff>
        </xdr:from>
        <xdr:to>
          <xdr:col>12</xdr:col>
          <xdr:colOff>142875</xdr:colOff>
          <xdr:row>29</xdr:row>
          <xdr:rowOff>66675</xdr:rowOff>
        </xdr:to>
        <xdr:sp macro="" textlink="">
          <xdr:nvSpPr>
            <xdr:cNvPr id="2049" name="demarrer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1504950</xdr:colOff>
          <xdr:row>19</xdr:row>
          <xdr:rowOff>114300</xdr:rowOff>
        </xdr:from>
        <xdr:to>
          <xdr:col>3</xdr:col>
          <xdr:colOff>1933575</xdr:colOff>
          <xdr:row>27</xdr:row>
          <xdr:rowOff>142875</xdr:rowOff>
        </xdr:to>
        <xdr:sp macro="" textlink="">
          <xdr:nvSpPr>
            <xdr:cNvPr id="1025" name="demarrerPgr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G18:H32"/>
  <sheetViews>
    <sheetView workbookViewId="0">
      <selection activeCell="K10" sqref="K10"/>
    </sheetView>
  </sheetViews>
  <sheetFormatPr baseColWidth="10" defaultRowHeight="15" x14ac:dyDescent="0.25"/>
  <sheetData>
    <row r="18" spans="7:8" x14ac:dyDescent="0.25">
      <c r="G18">
        <f>_xlfn.UNICODE("0231A")</f>
        <v>48</v>
      </c>
    </row>
    <row r="19" spans="7:8" ht="15.75" x14ac:dyDescent="0.3">
      <c r="G19" s="1" t="s">
        <v>0</v>
      </c>
    </row>
    <row r="20" spans="7:8" ht="15.75" x14ac:dyDescent="0.3">
      <c r="G20" s="1"/>
    </row>
    <row r="23" spans="7:8" x14ac:dyDescent="0.25">
      <c r="H23" t="s">
        <v>1</v>
      </c>
    </row>
    <row r="27" spans="7:8" x14ac:dyDescent="0.25">
      <c r="G27" t="e">
        <f>_xlfn.UNICODE("")</f>
        <v>#VALUE!</v>
      </c>
    </row>
    <row r="28" spans="7:8" ht="15.75" x14ac:dyDescent="0.3">
      <c r="G28" s="1" t="s">
        <v>3</v>
      </c>
    </row>
    <row r="32" spans="7:8" ht="15.75" x14ac:dyDescent="0.3">
      <c r="G32" s="1" t="s">
        <v>2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demarrerBtn">
          <controlPr defaultSize="0" autoLine="0" r:id="rId5">
            <anchor moveWithCells="1">
              <from>
                <xdr:col>8</xdr:col>
                <xdr:colOff>533400</xdr:colOff>
                <xdr:row>21</xdr:row>
                <xdr:rowOff>19050</xdr:rowOff>
              </from>
              <to>
                <xdr:col>12</xdr:col>
                <xdr:colOff>142875</xdr:colOff>
                <xdr:row>29</xdr:row>
                <xdr:rowOff>66675</xdr:rowOff>
              </to>
            </anchor>
          </controlPr>
        </control>
      </mc:Choice>
      <mc:Fallback>
        <control shapeId="2049" r:id="rId4" name="demarrer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/>
  <dimension ref="A1:G27"/>
  <sheetViews>
    <sheetView tabSelected="1" workbookViewId="0">
      <selection activeCell="C24" sqref="C24:C27"/>
    </sheetView>
  </sheetViews>
  <sheetFormatPr baseColWidth="10" defaultRowHeight="15" x14ac:dyDescent="0.25"/>
  <cols>
    <col min="1" max="1" width="23.7109375" customWidth="1"/>
    <col min="2" max="2" width="60.5703125" customWidth="1"/>
    <col min="3" max="3" width="33.42578125" customWidth="1"/>
    <col min="4" max="4" width="29.140625" customWidth="1"/>
  </cols>
  <sheetData>
    <row r="1" spans="1:4" x14ac:dyDescent="0.25">
      <c r="A1" t="s">
        <v>5</v>
      </c>
      <c r="B1" t="s">
        <v>4</v>
      </c>
      <c r="C1" t="s">
        <v>5</v>
      </c>
      <c r="D1" t="s">
        <v>5</v>
      </c>
    </row>
    <row r="2" spans="1:4" x14ac:dyDescent="0.25">
      <c r="A2" t="s">
        <v>17</v>
      </c>
      <c r="B2" t="s">
        <v>6</v>
      </c>
      <c r="C2" t="s">
        <v>17</v>
      </c>
      <c r="D2" t="s">
        <v>17</v>
      </c>
    </row>
    <row r="3" spans="1:4" x14ac:dyDescent="0.25">
      <c r="A3" t="s">
        <v>45</v>
      </c>
      <c r="B3" t="s">
        <v>7</v>
      </c>
      <c r="C3" t="s">
        <v>45</v>
      </c>
      <c r="D3" t="s">
        <v>45</v>
      </c>
    </row>
    <row r="4" spans="1:4" x14ac:dyDescent="0.25">
      <c r="A4" t="s">
        <v>46</v>
      </c>
      <c r="B4" t="s">
        <v>33</v>
      </c>
      <c r="C4" t="s">
        <v>45</v>
      </c>
      <c r="D4" t="s">
        <v>45</v>
      </c>
    </row>
    <row r="5" spans="1:4" x14ac:dyDescent="0.25">
      <c r="A5" t="s">
        <v>18</v>
      </c>
      <c r="B5" t="s">
        <v>32</v>
      </c>
      <c r="C5" t="s">
        <v>18</v>
      </c>
      <c r="D5" t="s">
        <v>18</v>
      </c>
    </row>
    <row r="6" spans="1:4" x14ac:dyDescent="0.25">
      <c r="A6" t="s">
        <v>19</v>
      </c>
      <c r="B6" t="s">
        <v>8</v>
      </c>
      <c r="C6" t="s">
        <v>34</v>
      </c>
      <c r="D6" t="s">
        <v>34</v>
      </c>
    </row>
    <row r="7" spans="1:4" x14ac:dyDescent="0.25">
      <c r="A7" t="s">
        <v>20</v>
      </c>
      <c r="B7" t="s">
        <v>12</v>
      </c>
      <c r="C7" t="s">
        <v>35</v>
      </c>
      <c r="D7" t="s">
        <v>20</v>
      </c>
    </row>
    <row r="8" spans="1:4" x14ac:dyDescent="0.25">
      <c r="A8" t="s">
        <v>21</v>
      </c>
      <c r="B8" t="s">
        <v>13</v>
      </c>
      <c r="C8" t="s">
        <v>36</v>
      </c>
      <c r="D8" t="s">
        <v>21</v>
      </c>
    </row>
    <row r="9" spans="1:4" x14ac:dyDescent="0.25">
      <c r="A9" t="s">
        <v>22</v>
      </c>
      <c r="B9" t="s">
        <v>14</v>
      </c>
      <c r="C9" t="s">
        <v>22</v>
      </c>
      <c r="D9" t="s">
        <v>22</v>
      </c>
    </row>
    <row r="10" spans="1:4" x14ac:dyDescent="0.25">
      <c r="A10" t="s">
        <v>23</v>
      </c>
      <c r="B10" t="s">
        <v>24</v>
      </c>
      <c r="C10" t="s">
        <v>37</v>
      </c>
      <c r="D10" t="s">
        <v>26</v>
      </c>
    </row>
    <row r="11" spans="1:4" x14ac:dyDescent="0.25">
      <c r="A11" t="s">
        <v>25</v>
      </c>
      <c r="B11" t="s">
        <v>9</v>
      </c>
      <c r="C11" t="s">
        <v>37</v>
      </c>
      <c r="D11" t="s">
        <v>26</v>
      </c>
    </row>
    <row r="12" spans="1:4" x14ac:dyDescent="0.25">
      <c r="A12" t="s">
        <v>26</v>
      </c>
      <c r="B12" t="s">
        <v>10</v>
      </c>
      <c r="C12" t="s">
        <v>37</v>
      </c>
      <c r="D12" t="s">
        <v>26</v>
      </c>
    </row>
    <row r="13" spans="1:4" x14ac:dyDescent="0.25">
      <c r="A13" t="s">
        <v>27</v>
      </c>
      <c r="B13" t="s">
        <v>11</v>
      </c>
      <c r="C13" t="s">
        <v>38</v>
      </c>
      <c r="D13" t="s">
        <v>27</v>
      </c>
    </row>
    <row r="14" spans="1:4" x14ac:dyDescent="0.25">
      <c r="A14" t="s">
        <v>28</v>
      </c>
      <c r="B14" t="s">
        <v>31</v>
      </c>
      <c r="C14" t="s">
        <v>39</v>
      </c>
      <c r="D14" t="s">
        <v>28</v>
      </c>
    </row>
    <row r="15" spans="1:4" x14ac:dyDescent="0.25">
      <c r="A15" t="s">
        <v>29</v>
      </c>
      <c r="B15" t="s">
        <v>15</v>
      </c>
      <c r="C15" t="s">
        <v>40</v>
      </c>
      <c r="D15" t="s">
        <v>30</v>
      </c>
    </row>
    <row r="16" spans="1:4" x14ac:dyDescent="0.25">
      <c r="A16" t="s">
        <v>30</v>
      </c>
      <c r="B16" t="s">
        <v>16</v>
      </c>
      <c r="C16" t="s">
        <v>40</v>
      </c>
      <c r="D16" t="s">
        <v>30</v>
      </c>
    </row>
    <row r="18" spans="1:7" x14ac:dyDescent="0.25">
      <c r="A18" t="s">
        <v>41</v>
      </c>
      <c r="B18" t="s">
        <v>43</v>
      </c>
    </row>
    <row r="19" spans="1:7" x14ac:dyDescent="0.25">
      <c r="A19" t="s">
        <v>42</v>
      </c>
      <c r="B19" t="s">
        <v>44</v>
      </c>
    </row>
    <row r="21" spans="1:7" ht="15.75" x14ac:dyDescent="0.3">
      <c r="G21" s="1"/>
    </row>
    <row r="24" spans="1:7" ht="15.75" x14ac:dyDescent="0.3">
      <c r="C24" s="1"/>
    </row>
    <row r="27" spans="1:7" ht="15.75" x14ac:dyDescent="0.3">
      <c r="D27" s="1"/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1025" r:id="rId4" name="demarrerPgrm">
          <controlPr defaultSize="0" autoLine="0" r:id="rId5">
            <anchor moveWithCells="1">
              <from>
                <xdr:col>2</xdr:col>
                <xdr:colOff>1504950</xdr:colOff>
                <xdr:row>19</xdr:row>
                <xdr:rowOff>114300</xdr:rowOff>
              </from>
              <to>
                <xdr:col>3</xdr:col>
                <xdr:colOff>1933575</xdr:colOff>
                <xdr:row>27</xdr:row>
                <xdr:rowOff>142875</xdr:rowOff>
              </to>
            </anchor>
          </controlPr>
        </control>
      </mc:Choice>
      <mc:Fallback>
        <control shapeId="1025" r:id="rId4" name="demarrerPgr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Z300"/>
  <sheetViews>
    <sheetView workbookViewId="0">
      <selection activeCell="Q31" sqref="Q31"/>
    </sheetView>
  </sheetViews>
  <sheetFormatPr baseColWidth="10" defaultRowHeight="15" x14ac:dyDescent="0.25"/>
  <cols>
    <col min="8" max="10" width="11.42578125" style="4"/>
  </cols>
  <sheetData>
    <row r="1" spans="1:17" x14ac:dyDescent="0.25">
      <c r="A1" t="s">
        <v>52</v>
      </c>
      <c r="B1" t="s">
        <v>58</v>
      </c>
      <c r="C1" t="s">
        <v>56</v>
      </c>
      <c r="D1" t="s">
        <v>51</v>
      </c>
      <c r="F1" t="s">
        <v>59</v>
      </c>
      <c r="G1" t="s">
        <v>52</v>
      </c>
      <c r="H1" s="4" t="s">
        <v>60</v>
      </c>
      <c r="I1" s="4">
        <v>2</v>
      </c>
      <c r="J1" s="4">
        <v>3</v>
      </c>
      <c r="K1" s="4" t="s">
        <v>61</v>
      </c>
    </row>
    <row r="2" spans="1:17" x14ac:dyDescent="0.25">
      <c r="A2" t="s">
        <v>47</v>
      </c>
      <c r="B2">
        <v>2</v>
      </c>
      <c r="C2" s="3">
        <v>44873</v>
      </c>
      <c r="D2">
        <v>0</v>
      </c>
      <c r="G2" t="s">
        <v>47</v>
      </c>
      <c r="H2" s="5">
        <f>COUNTIFS(A1:A1000000,"goudon",B1:B1000000,"1",D1:D1000000,"1")</f>
        <v>65</v>
      </c>
      <c r="I2" s="5">
        <f>COUNTIFS(A1:A1000000,"goudon",B1:B1000000,"2",D1:D1000000,"1")</f>
        <v>18</v>
      </c>
      <c r="J2" s="5">
        <f>COUNTIFS(A1:A1000000,"goudon",B1:B1000000,"3",D1:D1000000,"1")</f>
        <v>13</v>
      </c>
      <c r="K2" s="5" t="e">
        <f ca="1">SOMME(H2:J2)</f>
        <v>#NAME?</v>
      </c>
      <c r="L2" s="4"/>
    </row>
    <row r="3" spans="1:17" x14ac:dyDescent="0.25">
      <c r="A3" t="s">
        <v>47</v>
      </c>
      <c r="B3">
        <v>2</v>
      </c>
      <c r="C3" s="3">
        <v>44873</v>
      </c>
      <c r="D3">
        <v>0</v>
      </c>
      <c r="G3" t="s">
        <v>48</v>
      </c>
      <c r="H3" s="4">
        <f>COUNTIFS(A1:A1000000,"cleo jeanne",B1:B1000000,"1",D1:D1000000,"1")</f>
        <v>0</v>
      </c>
      <c r="I3" s="4">
        <f>COUNTIFS(A1:A1000000,"cleo jeanne",B1:B1000000,"2",D1:D1000000,"1")</f>
        <v>10</v>
      </c>
      <c r="J3" s="4">
        <f>COUNTIFS(A1:A1000000,"cleo jeanne",B1:B1000000,"3",D1:D1000000,"1")</f>
        <v>0</v>
      </c>
      <c r="K3" s="4" t="e">
        <f ca="1">SOMME(H3:J3)</f>
        <v>#NAME?</v>
      </c>
      <c r="L3" s="2"/>
      <c r="O3" t="s">
        <v>47</v>
      </c>
      <c r="P3">
        <v>1</v>
      </c>
      <c r="Q3" t="e">
        <f ca="1">recherchex(O3:P3,G:I,P6:R8)</f>
        <v>#NAME?</v>
      </c>
    </row>
    <row r="4" spans="1:17" x14ac:dyDescent="0.25">
      <c r="A4" t="s">
        <v>47</v>
      </c>
      <c r="B4">
        <v>2</v>
      </c>
      <c r="C4" s="3">
        <v>44873</v>
      </c>
      <c r="D4">
        <v>0</v>
      </c>
      <c r="K4" s="4"/>
    </row>
    <row r="5" spans="1:17" x14ac:dyDescent="0.25">
      <c r="A5" t="s">
        <v>47</v>
      </c>
      <c r="B5">
        <v>2</v>
      </c>
      <c r="C5" s="3">
        <v>44873</v>
      </c>
      <c r="D5">
        <v>0</v>
      </c>
      <c r="K5" s="4"/>
    </row>
    <row r="6" spans="1:17" x14ac:dyDescent="0.25">
      <c r="A6" t="s">
        <v>47</v>
      </c>
      <c r="B6">
        <v>2</v>
      </c>
      <c r="C6" s="3">
        <v>44873</v>
      </c>
      <c r="D6">
        <v>0</v>
      </c>
      <c r="K6" s="4"/>
    </row>
    <row r="7" spans="1:17" x14ac:dyDescent="0.25">
      <c r="A7" t="s">
        <v>47</v>
      </c>
      <c r="B7">
        <v>2</v>
      </c>
      <c r="C7" s="3">
        <v>44873</v>
      </c>
      <c r="D7">
        <v>0</v>
      </c>
      <c r="K7" s="4"/>
    </row>
    <row r="8" spans="1:17" x14ac:dyDescent="0.25">
      <c r="A8" t="s">
        <v>47</v>
      </c>
      <c r="B8">
        <v>2</v>
      </c>
      <c r="C8" s="3">
        <v>44873</v>
      </c>
      <c r="D8">
        <v>1</v>
      </c>
      <c r="K8" s="4"/>
    </row>
    <row r="9" spans="1:17" x14ac:dyDescent="0.25">
      <c r="A9" t="s">
        <v>47</v>
      </c>
      <c r="B9">
        <v>2</v>
      </c>
      <c r="C9" s="3">
        <v>44873</v>
      </c>
      <c r="D9">
        <v>0</v>
      </c>
      <c r="K9" s="4"/>
    </row>
    <row r="10" spans="1:17" x14ac:dyDescent="0.25">
      <c r="A10" t="s">
        <v>47</v>
      </c>
      <c r="B10">
        <v>2</v>
      </c>
      <c r="C10" s="3">
        <v>44873</v>
      </c>
      <c r="D10">
        <v>0</v>
      </c>
      <c r="K10" s="4"/>
    </row>
    <row r="11" spans="1:17" x14ac:dyDescent="0.25">
      <c r="A11" t="s">
        <v>47</v>
      </c>
      <c r="B11">
        <v>2</v>
      </c>
      <c r="C11" s="3">
        <v>44873</v>
      </c>
      <c r="D11">
        <v>0</v>
      </c>
      <c r="K11" s="4"/>
      <c r="L11" t="s">
        <v>51</v>
      </c>
    </row>
    <row r="12" spans="1:17" x14ac:dyDescent="0.25">
      <c r="A12" t="s">
        <v>47</v>
      </c>
      <c r="B12">
        <v>2</v>
      </c>
      <c r="C12" s="3">
        <v>44873</v>
      </c>
      <c r="D12">
        <v>0</v>
      </c>
      <c r="K12" s="4"/>
      <c r="L12">
        <v>0</v>
      </c>
    </row>
    <row r="13" spans="1:17" x14ac:dyDescent="0.25">
      <c r="A13" t="s">
        <v>47</v>
      </c>
      <c r="B13">
        <v>2</v>
      </c>
      <c r="C13" s="3">
        <v>44873</v>
      </c>
      <c r="D13">
        <v>1</v>
      </c>
      <c r="K13" s="4"/>
    </row>
    <row r="14" spans="1:17" x14ac:dyDescent="0.25">
      <c r="A14" t="s">
        <v>47</v>
      </c>
      <c r="B14">
        <v>2</v>
      </c>
      <c r="C14" s="3">
        <v>44873</v>
      </c>
      <c r="D14">
        <v>0</v>
      </c>
      <c r="K14" s="4"/>
    </row>
    <row r="15" spans="1:17" x14ac:dyDescent="0.25">
      <c r="A15" t="s">
        <v>47</v>
      </c>
      <c r="B15">
        <v>2</v>
      </c>
      <c r="C15" s="3">
        <v>44873</v>
      </c>
      <c r="D15">
        <v>1</v>
      </c>
      <c r="K15" s="4"/>
    </row>
    <row r="16" spans="1:17" x14ac:dyDescent="0.25">
      <c r="A16" t="s">
        <v>47</v>
      </c>
      <c r="B16">
        <v>2</v>
      </c>
      <c r="C16" s="3">
        <v>44873</v>
      </c>
      <c r="D16">
        <v>0</v>
      </c>
      <c r="K16" s="4"/>
    </row>
    <row r="17" spans="1:16" x14ac:dyDescent="0.25">
      <c r="A17" t="s">
        <v>47</v>
      </c>
      <c r="B17">
        <v>2</v>
      </c>
      <c r="C17" s="3">
        <v>44873</v>
      </c>
      <c r="D17">
        <v>0</v>
      </c>
      <c r="K17" s="4"/>
      <c r="O17" t="s">
        <v>57</v>
      </c>
    </row>
    <row r="18" spans="1:16" x14ac:dyDescent="0.25">
      <c r="A18" t="s">
        <v>47</v>
      </c>
      <c r="B18">
        <v>2</v>
      </c>
      <c r="C18" s="3">
        <v>44873</v>
      </c>
      <c r="D18">
        <v>0</v>
      </c>
      <c r="K18" s="4"/>
      <c r="O18">
        <v>1</v>
      </c>
      <c r="P18" t="s">
        <v>53</v>
      </c>
    </row>
    <row r="19" spans="1:16" x14ac:dyDescent="0.25">
      <c r="A19" t="s">
        <v>47</v>
      </c>
      <c r="B19">
        <v>2</v>
      </c>
      <c r="C19" s="3">
        <v>44873</v>
      </c>
      <c r="D19">
        <v>0</v>
      </c>
      <c r="K19" s="4"/>
      <c r="O19">
        <v>2</v>
      </c>
      <c r="P19" t="s">
        <v>54</v>
      </c>
    </row>
    <row r="20" spans="1:16" x14ac:dyDescent="0.25">
      <c r="A20" t="s">
        <v>47</v>
      </c>
      <c r="B20">
        <v>2</v>
      </c>
      <c r="C20" s="3">
        <v>44873</v>
      </c>
      <c r="D20">
        <v>0</v>
      </c>
      <c r="K20" s="4"/>
      <c r="O20">
        <v>3</v>
      </c>
      <c r="P20" t="s">
        <v>55</v>
      </c>
    </row>
    <row r="21" spans="1:16" x14ac:dyDescent="0.25">
      <c r="A21" t="s">
        <v>47</v>
      </c>
      <c r="B21">
        <v>2</v>
      </c>
      <c r="C21" s="3">
        <v>44873</v>
      </c>
      <c r="D21">
        <v>0</v>
      </c>
      <c r="K21" s="4"/>
    </row>
    <row r="22" spans="1:16" x14ac:dyDescent="0.25">
      <c r="A22" t="s">
        <v>47</v>
      </c>
      <c r="B22">
        <v>2</v>
      </c>
      <c r="C22" s="3">
        <v>44873</v>
      </c>
      <c r="D22">
        <v>0</v>
      </c>
      <c r="K22" s="4"/>
    </row>
    <row r="23" spans="1:16" x14ac:dyDescent="0.25">
      <c r="A23" t="s">
        <v>47</v>
      </c>
      <c r="B23">
        <v>2</v>
      </c>
      <c r="C23" s="3">
        <v>44873</v>
      </c>
      <c r="D23">
        <v>0</v>
      </c>
      <c r="K23" s="4"/>
    </row>
    <row r="24" spans="1:16" x14ac:dyDescent="0.25">
      <c r="A24" t="s">
        <v>47</v>
      </c>
      <c r="B24">
        <v>2</v>
      </c>
      <c r="C24" s="3">
        <v>44873</v>
      </c>
      <c r="D24">
        <v>0</v>
      </c>
      <c r="K24" s="4"/>
    </row>
    <row r="25" spans="1:16" x14ac:dyDescent="0.25">
      <c r="A25" t="s">
        <v>47</v>
      </c>
      <c r="B25">
        <v>2</v>
      </c>
      <c r="C25" s="3">
        <v>44873</v>
      </c>
      <c r="D25">
        <v>0</v>
      </c>
      <c r="K25" s="4"/>
    </row>
    <row r="26" spans="1:16" x14ac:dyDescent="0.25">
      <c r="A26" t="s">
        <v>47</v>
      </c>
      <c r="B26">
        <v>2</v>
      </c>
      <c r="C26" s="3">
        <v>44873</v>
      </c>
      <c r="D26">
        <v>0</v>
      </c>
      <c r="K26" s="4"/>
    </row>
    <row r="27" spans="1:16" x14ac:dyDescent="0.25">
      <c r="A27" t="s">
        <v>47</v>
      </c>
      <c r="B27">
        <v>2</v>
      </c>
      <c r="C27" s="3">
        <v>44873</v>
      </c>
      <c r="D27">
        <v>0</v>
      </c>
      <c r="K27" s="4"/>
    </row>
    <row r="28" spans="1:16" x14ac:dyDescent="0.25">
      <c r="A28" t="s">
        <v>47</v>
      </c>
      <c r="B28">
        <v>1</v>
      </c>
      <c r="C28" s="3">
        <v>44873</v>
      </c>
      <c r="D28">
        <v>0</v>
      </c>
      <c r="K28" s="4"/>
    </row>
    <row r="29" spans="1:16" x14ac:dyDescent="0.25">
      <c r="A29" t="s">
        <v>47</v>
      </c>
      <c r="B29">
        <v>2</v>
      </c>
      <c r="C29" s="3">
        <v>44873</v>
      </c>
      <c r="D29">
        <v>1</v>
      </c>
      <c r="K29" s="4"/>
    </row>
    <row r="30" spans="1:16" x14ac:dyDescent="0.25">
      <c r="A30" t="s">
        <v>47</v>
      </c>
      <c r="B30">
        <v>2</v>
      </c>
      <c r="C30" s="3">
        <v>44873</v>
      </c>
      <c r="D30">
        <v>1</v>
      </c>
      <c r="K30" s="4"/>
    </row>
    <row r="31" spans="1:16" x14ac:dyDescent="0.25">
      <c r="A31" t="s">
        <v>47</v>
      </c>
      <c r="B31">
        <v>2</v>
      </c>
      <c r="C31" s="3">
        <v>44873</v>
      </c>
      <c r="D31">
        <v>1</v>
      </c>
      <c r="K31" s="4"/>
    </row>
    <row r="32" spans="1:16" x14ac:dyDescent="0.25">
      <c r="A32" t="s">
        <v>47</v>
      </c>
      <c r="B32">
        <v>2</v>
      </c>
      <c r="C32" s="3">
        <v>44873</v>
      </c>
      <c r="D32">
        <v>0</v>
      </c>
      <c r="K32" s="4"/>
    </row>
    <row r="33" spans="1:17" x14ac:dyDescent="0.25">
      <c r="A33" t="s">
        <v>47</v>
      </c>
      <c r="B33">
        <v>2</v>
      </c>
      <c r="C33" s="3">
        <v>44873</v>
      </c>
      <c r="D33">
        <v>0</v>
      </c>
      <c r="K33" s="4"/>
    </row>
    <row r="34" spans="1:17" x14ac:dyDescent="0.25">
      <c r="A34" t="s">
        <v>47</v>
      </c>
      <c r="B34">
        <v>2</v>
      </c>
      <c r="C34" s="3">
        <v>44873</v>
      </c>
      <c r="D34">
        <v>2</v>
      </c>
      <c r="K34" s="4"/>
    </row>
    <row r="35" spans="1:17" x14ac:dyDescent="0.25">
      <c r="A35" t="s">
        <v>47</v>
      </c>
      <c r="B35">
        <v>2</v>
      </c>
      <c r="C35" s="3">
        <v>44873</v>
      </c>
      <c r="D35">
        <v>0</v>
      </c>
      <c r="K35" s="4"/>
    </row>
    <row r="36" spans="1:17" x14ac:dyDescent="0.25">
      <c r="A36" t="s">
        <v>47</v>
      </c>
      <c r="B36">
        <v>1</v>
      </c>
      <c r="C36" s="3">
        <v>44873</v>
      </c>
      <c r="D36">
        <v>0</v>
      </c>
      <c r="K36" s="4"/>
      <c r="Q36" t="s">
        <v>62</v>
      </c>
    </row>
    <row r="37" spans="1:17" x14ac:dyDescent="0.25">
      <c r="A37" t="s">
        <v>47</v>
      </c>
      <c r="B37">
        <v>2</v>
      </c>
      <c r="C37" s="3">
        <v>44873</v>
      </c>
      <c r="D37">
        <v>1</v>
      </c>
      <c r="K37" s="4"/>
    </row>
    <row r="38" spans="1:17" x14ac:dyDescent="0.25">
      <c r="A38" t="s">
        <v>47</v>
      </c>
      <c r="B38">
        <v>2</v>
      </c>
      <c r="C38" s="3">
        <v>44873</v>
      </c>
      <c r="D38">
        <v>0</v>
      </c>
      <c r="K38" s="4"/>
    </row>
    <row r="39" spans="1:17" x14ac:dyDescent="0.25">
      <c r="A39" t="s">
        <v>47</v>
      </c>
      <c r="B39">
        <v>1</v>
      </c>
      <c r="C39" s="3">
        <v>44873</v>
      </c>
      <c r="D39">
        <v>0</v>
      </c>
      <c r="K39" s="4"/>
    </row>
    <row r="40" spans="1:17" x14ac:dyDescent="0.25">
      <c r="A40" t="s">
        <v>47</v>
      </c>
      <c r="B40">
        <v>2</v>
      </c>
      <c r="C40" s="3">
        <v>44873</v>
      </c>
      <c r="D40">
        <v>1</v>
      </c>
      <c r="K40" s="4"/>
    </row>
    <row r="41" spans="1:17" x14ac:dyDescent="0.25">
      <c r="A41" t="s">
        <v>47</v>
      </c>
      <c r="B41">
        <v>2</v>
      </c>
      <c r="C41" s="3">
        <v>44873</v>
      </c>
      <c r="D41">
        <v>1</v>
      </c>
      <c r="K41" s="4"/>
    </row>
    <row r="42" spans="1:17" x14ac:dyDescent="0.25">
      <c r="A42" t="s">
        <v>47</v>
      </c>
      <c r="B42">
        <v>3</v>
      </c>
      <c r="C42" s="3">
        <v>44873</v>
      </c>
      <c r="D42">
        <v>0</v>
      </c>
      <c r="K42" s="4"/>
    </row>
    <row r="43" spans="1:17" x14ac:dyDescent="0.25">
      <c r="A43" t="s">
        <v>47</v>
      </c>
      <c r="B43">
        <v>1</v>
      </c>
      <c r="C43" s="3">
        <v>44873</v>
      </c>
      <c r="D43">
        <v>0</v>
      </c>
      <c r="K43" s="4"/>
    </row>
    <row r="44" spans="1:17" x14ac:dyDescent="0.25">
      <c r="A44" t="s">
        <v>47</v>
      </c>
      <c r="B44">
        <v>1</v>
      </c>
      <c r="C44" s="3">
        <v>44873</v>
      </c>
      <c r="D44">
        <v>0</v>
      </c>
      <c r="K44" s="4"/>
    </row>
    <row r="45" spans="1:17" x14ac:dyDescent="0.25">
      <c r="A45" t="s">
        <v>47</v>
      </c>
      <c r="B45">
        <v>1</v>
      </c>
      <c r="C45" s="3">
        <v>44873</v>
      </c>
      <c r="D45">
        <v>0</v>
      </c>
      <c r="K45" s="4"/>
    </row>
    <row r="46" spans="1:17" x14ac:dyDescent="0.25">
      <c r="A46" t="s">
        <v>47</v>
      </c>
      <c r="B46">
        <v>2</v>
      </c>
      <c r="C46" s="3">
        <v>44873</v>
      </c>
      <c r="D46">
        <v>0</v>
      </c>
      <c r="K46" s="4"/>
    </row>
    <row r="47" spans="1:17" x14ac:dyDescent="0.25">
      <c r="A47" t="s">
        <v>47</v>
      </c>
      <c r="B47">
        <v>2</v>
      </c>
      <c r="C47" s="3">
        <v>44874</v>
      </c>
      <c r="D47">
        <v>1</v>
      </c>
      <c r="K47" s="4"/>
    </row>
    <row r="48" spans="1:17" x14ac:dyDescent="0.25">
      <c r="A48" t="s">
        <v>47</v>
      </c>
      <c r="B48">
        <v>1</v>
      </c>
      <c r="C48" s="3">
        <v>44874</v>
      </c>
      <c r="D48">
        <v>0</v>
      </c>
      <c r="K48" s="4"/>
    </row>
    <row r="49" spans="1:11" x14ac:dyDescent="0.25">
      <c r="A49" t="s">
        <v>47</v>
      </c>
      <c r="B49">
        <v>2</v>
      </c>
      <c r="C49" s="3">
        <v>44874</v>
      </c>
      <c r="D49">
        <v>1</v>
      </c>
      <c r="K49" s="4"/>
    </row>
    <row r="50" spans="1:11" x14ac:dyDescent="0.25">
      <c r="A50" t="s">
        <v>47</v>
      </c>
      <c r="B50">
        <v>1</v>
      </c>
      <c r="C50" s="3">
        <v>44874</v>
      </c>
      <c r="D50">
        <v>0</v>
      </c>
      <c r="K50" s="4"/>
    </row>
    <row r="51" spans="1:11" x14ac:dyDescent="0.25">
      <c r="A51" t="s">
        <v>47</v>
      </c>
      <c r="B51">
        <v>3</v>
      </c>
      <c r="C51" s="3">
        <v>44874</v>
      </c>
      <c r="D51">
        <v>0</v>
      </c>
      <c r="K51" s="4"/>
    </row>
    <row r="52" spans="1:11" x14ac:dyDescent="0.25">
      <c r="A52" t="s">
        <v>47</v>
      </c>
      <c r="B52">
        <v>3</v>
      </c>
      <c r="C52" s="3">
        <v>44874</v>
      </c>
      <c r="D52">
        <v>0</v>
      </c>
      <c r="K52" s="4"/>
    </row>
    <row r="53" spans="1:11" x14ac:dyDescent="0.25">
      <c r="A53" t="s">
        <v>47</v>
      </c>
      <c r="B53">
        <v>3</v>
      </c>
      <c r="C53" s="3">
        <v>44874</v>
      </c>
      <c r="D53">
        <v>0</v>
      </c>
      <c r="K53" s="4"/>
    </row>
    <row r="54" spans="1:11" x14ac:dyDescent="0.25">
      <c r="A54" t="s">
        <v>47</v>
      </c>
      <c r="B54">
        <v>3</v>
      </c>
      <c r="C54" s="3">
        <v>44874</v>
      </c>
      <c r="D54">
        <v>0</v>
      </c>
      <c r="K54" s="4"/>
    </row>
    <row r="55" spans="1:11" x14ac:dyDescent="0.25">
      <c r="A55" t="s">
        <v>47</v>
      </c>
      <c r="B55">
        <v>3</v>
      </c>
      <c r="C55" s="3">
        <v>44874</v>
      </c>
      <c r="D55">
        <v>0</v>
      </c>
      <c r="K55" s="4"/>
    </row>
    <row r="56" spans="1:11" x14ac:dyDescent="0.25">
      <c r="A56" t="s">
        <v>47</v>
      </c>
      <c r="B56">
        <v>3</v>
      </c>
      <c r="C56" s="3">
        <v>44874</v>
      </c>
      <c r="D56">
        <v>0</v>
      </c>
      <c r="K56" s="4"/>
    </row>
    <row r="57" spans="1:11" x14ac:dyDescent="0.25">
      <c r="A57" t="s">
        <v>47</v>
      </c>
      <c r="B57">
        <v>3</v>
      </c>
      <c r="C57" s="3">
        <v>44874</v>
      </c>
      <c r="D57">
        <v>0</v>
      </c>
      <c r="K57" s="4"/>
    </row>
    <row r="58" spans="1:11" x14ac:dyDescent="0.25">
      <c r="A58" t="s">
        <v>47</v>
      </c>
      <c r="B58">
        <v>3</v>
      </c>
      <c r="C58" s="3">
        <v>44874</v>
      </c>
      <c r="D58">
        <v>0</v>
      </c>
      <c r="K58" s="4"/>
    </row>
    <row r="59" spans="1:11" x14ac:dyDescent="0.25">
      <c r="A59" t="s">
        <v>47</v>
      </c>
      <c r="B59">
        <v>3</v>
      </c>
      <c r="C59" s="3">
        <v>44874</v>
      </c>
      <c r="D59">
        <v>0</v>
      </c>
      <c r="K59" s="4"/>
    </row>
    <row r="60" spans="1:11" x14ac:dyDescent="0.25">
      <c r="A60" t="s">
        <v>47</v>
      </c>
      <c r="B60">
        <v>3</v>
      </c>
      <c r="C60" s="3">
        <v>44874</v>
      </c>
      <c r="D60">
        <v>0</v>
      </c>
      <c r="K60" s="4"/>
    </row>
    <row r="61" spans="1:11" x14ac:dyDescent="0.25">
      <c r="A61" t="s">
        <v>47</v>
      </c>
      <c r="B61">
        <v>3</v>
      </c>
      <c r="C61" s="3">
        <v>44874</v>
      </c>
      <c r="D61">
        <v>0</v>
      </c>
      <c r="K61" s="4"/>
    </row>
    <row r="62" spans="1:11" x14ac:dyDescent="0.25">
      <c r="A62" t="s">
        <v>47</v>
      </c>
      <c r="B62">
        <v>3</v>
      </c>
      <c r="C62" s="3">
        <v>44874</v>
      </c>
      <c r="D62">
        <v>0</v>
      </c>
      <c r="K62" s="4"/>
    </row>
    <row r="63" spans="1:11" x14ac:dyDescent="0.25">
      <c r="A63" t="s">
        <v>47</v>
      </c>
      <c r="B63">
        <v>3</v>
      </c>
      <c r="C63" s="3">
        <v>44874</v>
      </c>
      <c r="D63">
        <v>0</v>
      </c>
      <c r="K63" s="4"/>
    </row>
    <row r="64" spans="1:11" x14ac:dyDescent="0.25">
      <c r="A64" t="s">
        <v>47</v>
      </c>
      <c r="B64">
        <v>3</v>
      </c>
      <c r="C64" s="3">
        <v>44874</v>
      </c>
      <c r="D64">
        <v>0</v>
      </c>
      <c r="K64" s="4"/>
    </row>
    <row r="65" spans="1:11" x14ac:dyDescent="0.25">
      <c r="A65" t="s">
        <v>47</v>
      </c>
      <c r="B65">
        <v>3</v>
      </c>
      <c r="C65" s="3">
        <v>44874</v>
      </c>
      <c r="D65">
        <v>0</v>
      </c>
      <c r="K65" s="4"/>
    </row>
    <row r="66" spans="1:11" x14ac:dyDescent="0.25">
      <c r="A66" t="s">
        <v>47</v>
      </c>
      <c r="B66">
        <v>3</v>
      </c>
      <c r="C66" s="3">
        <v>44874</v>
      </c>
      <c r="D66">
        <v>0</v>
      </c>
      <c r="K66" s="4"/>
    </row>
    <row r="67" spans="1:11" x14ac:dyDescent="0.25">
      <c r="A67" t="s">
        <v>47</v>
      </c>
      <c r="B67">
        <v>3</v>
      </c>
      <c r="C67" s="3">
        <v>44874</v>
      </c>
      <c r="D67">
        <v>0</v>
      </c>
      <c r="K67" s="4"/>
    </row>
    <row r="68" spans="1:11" x14ac:dyDescent="0.25">
      <c r="A68" t="s">
        <v>47</v>
      </c>
      <c r="B68">
        <v>1</v>
      </c>
      <c r="C68" s="3">
        <v>44874</v>
      </c>
      <c r="D68">
        <v>0</v>
      </c>
      <c r="K68" s="4"/>
    </row>
    <row r="69" spans="1:11" x14ac:dyDescent="0.25">
      <c r="A69" t="s">
        <v>47</v>
      </c>
      <c r="B69">
        <v>2</v>
      </c>
      <c r="C69" s="3">
        <v>44874</v>
      </c>
      <c r="D69">
        <v>1</v>
      </c>
      <c r="K69" s="4"/>
    </row>
    <row r="70" spans="1:11" x14ac:dyDescent="0.25">
      <c r="A70" t="s">
        <v>47</v>
      </c>
      <c r="B70">
        <v>1</v>
      </c>
      <c r="C70" s="3">
        <v>44874</v>
      </c>
      <c r="D70">
        <v>0</v>
      </c>
      <c r="K70" s="4"/>
    </row>
    <row r="71" spans="1:11" x14ac:dyDescent="0.25">
      <c r="A71" t="s">
        <v>47</v>
      </c>
      <c r="B71">
        <v>2</v>
      </c>
      <c r="C71" s="3">
        <v>44874</v>
      </c>
      <c r="D71">
        <v>1</v>
      </c>
      <c r="K71" s="4"/>
    </row>
    <row r="72" spans="1:11" x14ac:dyDescent="0.25">
      <c r="A72" t="s">
        <v>47</v>
      </c>
      <c r="B72">
        <v>3</v>
      </c>
      <c r="C72" s="3">
        <v>44874</v>
      </c>
      <c r="D72">
        <v>0</v>
      </c>
      <c r="K72" s="4"/>
    </row>
    <row r="73" spans="1:11" x14ac:dyDescent="0.25">
      <c r="A73" t="s">
        <v>47</v>
      </c>
      <c r="B73">
        <v>2</v>
      </c>
      <c r="C73" s="3">
        <v>44874</v>
      </c>
      <c r="D73">
        <v>1</v>
      </c>
      <c r="K73" s="4"/>
    </row>
    <row r="74" spans="1:11" x14ac:dyDescent="0.25">
      <c r="A74" t="s">
        <v>47</v>
      </c>
      <c r="B74">
        <v>3</v>
      </c>
      <c r="C74" s="3">
        <v>44874</v>
      </c>
      <c r="D74">
        <v>0</v>
      </c>
      <c r="K74" s="4"/>
    </row>
    <row r="75" spans="1:11" x14ac:dyDescent="0.25">
      <c r="A75" t="s">
        <v>47</v>
      </c>
      <c r="B75">
        <v>2</v>
      </c>
      <c r="C75" s="3">
        <v>44874</v>
      </c>
      <c r="D75">
        <v>1</v>
      </c>
      <c r="K75" s="4"/>
    </row>
    <row r="76" spans="1:11" x14ac:dyDescent="0.25">
      <c r="A76" t="s">
        <v>47</v>
      </c>
      <c r="B76">
        <v>1</v>
      </c>
      <c r="C76" s="3">
        <v>44874</v>
      </c>
      <c r="D76">
        <v>1</v>
      </c>
      <c r="K76" s="4"/>
    </row>
    <row r="77" spans="1:11" x14ac:dyDescent="0.25">
      <c r="A77" t="s">
        <v>47</v>
      </c>
      <c r="B77">
        <v>1</v>
      </c>
      <c r="C77" s="3">
        <v>44874</v>
      </c>
      <c r="D77">
        <v>1</v>
      </c>
      <c r="K77" s="4"/>
    </row>
    <row r="78" spans="1:11" x14ac:dyDescent="0.25">
      <c r="A78" t="s">
        <v>47</v>
      </c>
      <c r="B78">
        <v>1</v>
      </c>
      <c r="C78" s="3">
        <v>44874</v>
      </c>
      <c r="D78">
        <v>1</v>
      </c>
      <c r="K78" s="4"/>
    </row>
    <row r="79" spans="1:11" x14ac:dyDescent="0.25">
      <c r="A79" t="s">
        <v>47</v>
      </c>
      <c r="B79">
        <v>1</v>
      </c>
      <c r="C79" s="3">
        <v>44874</v>
      </c>
      <c r="D79">
        <v>1</v>
      </c>
      <c r="K79" s="4"/>
    </row>
    <row r="80" spans="1:11" x14ac:dyDescent="0.25">
      <c r="A80" t="s">
        <v>47</v>
      </c>
      <c r="B80">
        <v>1</v>
      </c>
      <c r="C80" s="3">
        <v>44874</v>
      </c>
      <c r="D80">
        <v>1</v>
      </c>
      <c r="K80" s="4"/>
    </row>
    <row r="81" spans="1:11" x14ac:dyDescent="0.25">
      <c r="A81" t="s">
        <v>47</v>
      </c>
      <c r="B81">
        <v>1</v>
      </c>
      <c r="C81" s="3">
        <v>44874</v>
      </c>
      <c r="D81">
        <v>1</v>
      </c>
      <c r="K81" s="4"/>
    </row>
    <row r="82" spans="1:11" x14ac:dyDescent="0.25">
      <c r="A82" t="s">
        <v>47</v>
      </c>
      <c r="B82">
        <v>1</v>
      </c>
      <c r="C82" s="3">
        <v>44874</v>
      </c>
      <c r="D82">
        <v>1</v>
      </c>
      <c r="K82" s="4"/>
    </row>
    <row r="83" spans="1:11" x14ac:dyDescent="0.25">
      <c r="A83" t="s">
        <v>47</v>
      </c>
      <c r="B83">
        <v>1</v>
      </c>
      <c r="C83" s="3">
        <v>44874</v>
      </c>
      <c r="D83">
        <v>1</v>
      </c>
      <c r="K83" s="4"/>
    </row>
    <row r="84" spans="1:11" x14ac:dyDescent="0.25">
      <c r="A84" t="s">
        <v>47</v>
      </c>
      <c r="B84">
        <v>1</v>
      </c>
      <c r="C84" s="3">
        <v>44874</v>
      </c>
      <c r="D84">
        <v>1</v>
      </c>
      <c r="K84" s="4"/>
    </row>
    <row r="85" spans="1:11" x14ac:dyDescent="0.25">
      <c r="A85" t="s">
        <v>47</v>
      </c>
      <c r="B85">
        <v>1</v>
      </c>
      <c r="C85" s="3">
        <v>44874</v>
      </c>
      <c r="D85">
        <v>1</v>
      </c>
      <c r="K85" s="4"/>
    </row>
    <row r="86" spans="1:11" x14ac:dyDescent="0.25">
      <c r="A86" t="s">
        <v>47</v>
      </c>
      <c r="B86">
        <v>1</v>
      </c>
      <c r="C86" s="3">
        <v>44874</v>
      </c>
      <c r="D86">
        <v>1</v>
      </c>
      <c r="K86" s="4"/>
    </row>
    <row r="87" spans="1:11" x14ac:dyDescent="0.25">
      <c r="A87" t="s">
        <v>47</v>
      </c>
      <c r="B87">
        <v>1</v>
      </c>
      <c r="C87" s="3">
        <v>44874</v>
      </c>
      <c r="D87">
        <v>1</v>
      </c>
      <c r="K87" s="4"/>
    </row>
    <row r="88" spans="1:11" x14ac:dyDescent="0.25">
      <c r="A88" t="s">
        <v>47</v>
      </c>
      <c r="B88">
        <v>1</v>
      </c>
      <c r="C88" s="3">
        <v>44874</v>
      </c>
      <c r="D88">
        <v>1</v>
      </c>
      <c r="K88" s="4"/>
    </row>
    <row r="89" spans="1:11" x14ac:dyDescent="0.25">
      <c r="A89" t="s">
        <v>47</v>
      </c>
      <c r="B89">
        <v>1</v>
      </c>
      <c r="C89" s="3">
        <v>44874</v>
      </c>
      <c r="D89">
        <v>1</v>
      </c>
      <c r="K89" s="4"/>
    </row>
    <row r="90" spans="1:11" x14ac:dyDescent="0.25">
      <c r="A90" t="s">
        <v>47</v>
      </c>
      <c r="B90">
        <v>1</v>
      </c>
      <c r="C90" s="3">
        <v>44874</v>
      </c>
      <c r="D90">
        <v>1</v>
      </c>
      <c r="K90" s="4"/>
    </row>
    <row r="91" spans="1:11" x14ac:dyDescent="0.25">
      <c r="A91" t="s">
        <v>47</v>
      </c>
      <c r="B91">
        <v>1</v>
      </c>
      <c r="C91" s="3">
        <v>44874</v>
      </c>
      <c r="D91">
        <v>1</v>
      </c>
      <c r="K91" s="4"/>
    </row>
    <row r="92" spans="1:11" x14ac:dyDescent="0.25">
      <c r="A92" t="s">
        <v>47</v>
      </c>
      <c r="B92">
        <v>1</v>
      </c>
      <c r="C92" s="3">
        <v>44874</v>
      </c>
      <c r="D92">
        <v>1</v>
      </c>
      <c r="K92" s="4"/>
    </row>
    <row r="93" spans="1:11" x14ac:dyDescent="0.25">
      <c r="A93" t="s">
        <v>47</v>
      </c>
      <c r="B93">
        <v>1</v>
      </c>
      <c r="C93" s="3">
        <v>44874</v>
      </c>
      <c r="D93">
        <v>0</v>
      </c>
      <c r="K93" s="4"/>
    </row>
    <row r="94" spans="1:11" x14ac:dyDescent="0.25">
      <c r="A94" t="s">
        <v>47</v>
      </c>
      <c r="B94">
        <v>2</v>
      </c>
      <c r="C94" s="3">
        <v>44874</v>
      </c>
      <c r="D94">
        <v>0</v>
      </c>
      <c r="K94" s="4"/>
    </row>
    <row r="95" spans="1:11" x14ac:dyDescent="0.25">
      <c r="A95" t="s">
        <v>47</v>
      </c>
      <c r="B95">
        <v>3</v>
      </c>
      <c r="C95" s="3">
        <v>44874</v>
      </c>
      <c r="D95">
        <v>1</v>
      </c>
      <c r="K95" s="4"/>
    </row>
    <row r="96" spans="1:11" x14ac:dyDescent="0.25">
      <c r="A96" t="s">
        <v>47</v>
      </c>
      <c r="B96">
        <v>3</v>
      </c>
      <c r="C96" s="3">
        <v>44874</v>
      </c>
      <c r="D96">
        <v>2</v>
      </c>
      <c r="K96" s="4"/>
    </row>
    <row r="97" spans="1:11" x14ac:dyDescent="0.25">
      <c r="A97" t="s">
        <v>47</v>
      </c>
      <c r="B97">
        <v>3</v>
      </c>
      <c r="C97" s="3">
        <v>44874</v>
      </c>
      <c r="D97">
        <v>2</v>
      </c>
      <c r="K97" s="4"/>
    </row>
    <row r="98" spans="1:11" x14ac:dyDescent="0.25">
      <c r="A98" t="s">
        <v>47</v>
      </c>
      <c r="B98">
        <v>3</v>
      </c>
      <c r="C98" s="3">
        <v>44874</v>
      </c>
      <c r="D98">
        <v>2</v>
      </c>
      <c r="K98" s="4"/>
    </row>
    <row r="99" spans="1:11" x14ac:dyDescent="0.25">
      <c r="A99" t="s">
        <v>47</v>
      </c>
      <c r="B99">
        <v>3</v>
      </c>
      <c r="C99" s="3">
        <v>44874</v>
      </c>
      <c r="D99">
        <v>3</v>
      </c>
      <c r="K99" s="4"/>
    </row>
    <row r="100" spans="1:11" x14ac:dyDescent="0.25">
      <c r="A100" t="s">
        <v>47</v>
      </c>
      <c r="B100">
        <v>3</v>
      </c>
      <c r="C100" s="3">
        <v>44874</v>
      </c>
      <c r="D100">
        <v>1</v>
      </c>
      <c r="K100" s="4"/>
    </row>
    <row r="101" spans="1:11" x14ac:dyDescent="0.25">
      <c r="A101" t="s">
        <v>47</v>
      </c>
      <c r="B101">
        <v>3</v>
      </c>
      <c r="C101" s="3">
        <v>44874</v>
      </c>
      <c r="D101">
        <v>1</v>
      </c>
      <c r="K101" s="4"/>
    </row>
    <row r="102" spans="1:11" x14ac:dyDescent="0.25">
      <c r="A102" t="s">
        <v>47</v>
      </c>
      <c r="B102">
        <v>3</v>
      </c>
      <c r="C102" s="3">
        <v>44874</v>
      </c>
      <c r="D102">
        <v>1</v>
      </c>
      <c r="K102" s="4"/>
    </row>
    <row r="103" spans="1:11" x14ac:dyDescent="0.25">
      <c r="A103" t="s">
        <v>47</v>
      </c>
      <c r="B103">
        <v>3</v>
      </c>
      <c r="C103" s="3">
        <v>44874</v>
      </c>
      <c r="D103">
        <v>2</v>
      </c>
      <c r="K103" s="4"/>
    </row>
    <row r="104" spans="1:11" x14ac:dyDescent="0.25">
      <c r="A104" t="s">
        <v>47</v>
      </c>
      <c r="B104">
        <v>3</v>
      </c>
      <c r="C104" s="3">
        <v>44874</v>
      </c>
      <c r="D104">
        <v>1</v>
      </c>
      <c r="K104" s="4"/>
    </row>
    <row r="105" spans="1:11" x14ac:dyDescent="0.25">
      <c r="A105" t="s">
        <v>47</v>
      </c>
      <c r="B105">
        <v>3</v>
      </c>
      <c r="C105" s="3">
        <v>44874</v>
      </c>
      <c r="D105">
        <v>1</v>
      </c>
      <c r="K105" s="4"/>
    </row>
    <row r="106" spans="1:11" x14ac:dyDescent="0.25">
      <c r="A106" t="s">
        <v>47</v>
      </c>
      <c r="B106">
        <v>3</v>
      </c>
      <c r="C106" s="3">
        <v>44874</v>
      </c>
      <c r="D106">
        <v>1</v>
      </c>
      <c r="K106" s="4"/>
    </row>
    <row r="107" spans="1:11" x14ac:dyDescent="0.25">
      <c r="A107" t="s">
        <v>47</v>
      </c>
      <c r="B107">
        <v>3</v>
      </c>
      <c r="C107" s="3">
        <v>44874</v>
      </c>
      <c r="D107">
        <v>1</v>
      </c>
      <c r="K107" s="4"/>
    </row>
    <row r="108" spans="1:11" x14ac:dyDescent="0.25">
      <c r="A108" t="s">
        <v>47</v>
      </c>
      <c r="B108">
        <v>3</v>
      </c>
      <c r="C108" s="3">
        <v>44874</v>
      </c>
      <c r="D108">
        <v>1</v>
      </c>
      <c r="K108" s="4"/>
    </row>
    <row r="109" spans="1:11" x14ac:dyDescent="0.25">
      <c r="A109" t="s">
        <v>47</v>
      </c>
      <c r="B109">
        <v>3</v>
      </c>
      <c r="C109" s="3">
        <v>44874</v>
      </c>
      <c r="D109">
        <v>1</v>
      </c>
      <c r="K109" s="4"/>
    </row>
    <row r="110" spans="1:11" x14ac:dyDescent="0.25">
      <c r="A110" t="s">
        <v>47</v>
      </c>
      <c r="B110">
        <v>3</v>
      </c>
      <c r="C110" s="3">
        <v>44874</v>
      </c>
      <c r="D110">
        <v>1</v>
      </c>
      <c r="K110" s="4"/>
    </row>
    <row r="111" spans="1:11" x14ac:dyDescent="0.25">
      <c r="A111" t="s">
        <v>47</v>
      </c>
      <c r="B111">
        <v>3</v>
      </c>
      <c r="C111" s="3">
        <v>44874</v>
      </c>
      <c r="D111">
        <v>1</v>
      </c>
      <c r="K111" s="4"/>
    </row>
    <row r="112" spans="1:11" x14ac:dyDescent="0.25">
      <c r="A112" t="s">
        <v>47</v>
      </c>
      <c r="B112">
        <v>3</v>
      </c>
      <c r="C112" s="3">
        <v>44874</v>
      </c>
      <c r="D112">
        <v>1</v>
      </c>
      <c r="K112" s="4"/>
    </row>
    <row r="113" spans="1:11" x14ac:dyDescent="0.25">
      <c r="A113" t="s">
        <v>47</v>
      </c>
      <c r="B113">
        <v>3</v>
      </c>
      <c r="C113" s="3">
        <v>44874</v>
      </c>
      <c r="D113">
        <v>2</v>
      </c>
      <c r="K113" s="4"/>
    </row>
    <row r="114" spans="1:11" x14ac:dyDescent="0.25">
      <c r="A114" t="s">
        <v>47</v>
      </c>
      <c r="B114">
        <v>3</v>
      </c>
      <c r="C114" s="3">
        <v>44874</v>
      </c>
      <c r="D114">
        <v>0</v>
      </c>
      <c r="K114" s="4"/>
    </row>
    <row r="115" spans="1:11" x14ac:dyDescent="0.25">
      <c r="A115" t="s">
        <v>47</v>
      </c>
      <c r="B115">
        <v>2</v>
      </c>
      <c r="C115" s="3">
        <v>44874</v>
      </c>
      <c r="D115">
        <v>2</v>
      </c>
      <c r="K115" s="4"/>
    </row>
    <row r="116" spans="1:11" x14ac:dyDescent="0.25">
      <c r="A116" t="s">
        <v>47</v>
      </c>
      <c r="B116">
        <v>2</v>
      </c>
      <c r="C116" s="3">
        <v>44874</v>
      </c>
      <c r="D116">
        <v>1</v>
      </c>
      <c r="K116" s="4"/>
    </row>
    <row r="117" spans="1:11" x14ac:dyDescent="0.25">
      <c r="A117" t="s">
        <v>47</v>
      </c>
      <c r="B117">
        <v>2</v>
      </c>
      <c r="C117" s="3">
        <v>44874</v>
      </c>
      <c r="D117">
        <v>2</v>
      </c>
      <c r="K117" s="4"/>
    </row>
    <row r="118" spans="1:11" x14ac:dyDescent="0.25">
      <c r="A118" t="s">
        <v>47</v>
      </c>
      <c r="B118">
        <v>2</v>
      </c>
      <c r="C118" s="3">
        <v>44874</v>
      </c>
      <c r="D118">
        <v>1</v>
      </c>
      <c r="K118" s="4"/>
    </row>
    <row r="119" spans="1:11" x14ac:dyDescent="0.25">
      <c r="A119" t="s">
        <v>47</v>
      </c>
      <c r="B119">
        <v>2</v>
      </c>
      <c r="C119" s="3">
        <v>44874</v>
      </c>
      <c r="D119">
        <v>1</v>
      </c>
      <c r="K119" s="4"/>
    </row>
    <row r="120" spans="1:11" x14ac:dyDescent="0.25">
      <c r="A120" t="s">
        <v>47</v>
      </c>
      <c r="B120">
        <v>2</v>
      </c>
      <c r="C120" s="3">
        <v>44874</v>
      </c>
      <c r="D120">
        <v>2</v>
      </c>
      <c r="K120" s="4"/>
    </row>
    <row r="121" spans="1:11" x14ac:dyDescent="0.25">
      <c r="A121" t="s">
        <v>47</v>
      </c>
      <c r="B121">
        <v>2</v>
      </c>
      <c r="C121" s="3">
        <v>44874</v>
      </c>
      <c r="D121">
        <v>0</v>
      </c>
      <c r="K121" s="4"/>
    </row>
    <row r="122" spans="1:11" x14ac:dyDescent="0.25">
      <c r="A122" t="s">
        <v>47</v>
      </c>
      <c r="B122">
        <v>1</v>
      </c>
      <c r="C122" s="3">
        <v>44874</v>
      </c>
      <c r="D122">
        <v>1</v>
      </c>
      <c r="K122" s="4"/>
    </row>
    <row r="123" spans="1:11" x14ac:dyDescent="0.25">
      <c r="A123" t="s">
        <v>47</v>
      </c>
      <c r="B123">
        <v>1</v>
      </c>
      <c r="C123" s="3">
        <v>44874</v>
      </c>
      <c r="D123">
        <v>2</v>
      </c>
      <c r="K123" s="4"/>
    </row>
    <row r="124" spans="1:11" x14ac:dyDescent="0.25">
      <c r="A124" t="s">
        <v>47</v>
      </c>
      <c r="B124">
        <v>1</v>
      </c>
      <c r="C124" s="3">
        <v>44874</v>
      </c>
      <c r="D124">
        <v>1</v>
      </c>
      <c r="K124" s="4"/>
    </row>
    <row r="125" spans="1:11" x14ac:dyDescent="0.25">
      <c r="A125" t="s">
        <v>47</v>
      </c>
      <c r="B125">
        <v>1</v>
      </c>
      <c r="C125" s="3">
        <v>44874</v>
      </c>
      <c r="D125">
        <v>1</v>
      </c>
      <c r="K125" s="4"/>
    </row>
    <row r="126" spans="1:11" x14ac:dyDescent="0.25">
      <c r="A126" t="s">
        <v>47</v>
      </c>
      <c r="B126">
        <v>1</v>
      </c>
      <c r="C126" s="3">
        <v>44874</v>
      </c>
      <c r="D126">
        <v>2</v>
      </c>
      <c r="K126" s="4"/>
    </row>
    <row r="127" spans="1:11" x14ac:dyDescent="0.25">
      <c r="A127" t="s">
        <v>47</v>
      </c>
      <c r="B127">
        <v>1</v>
      </c>
      <c r="C127" s="3">
        <v>44874</v>
      </c>
      <c r="D127">
        <v>1</v>
      </c>
      <c r="K127" s="4"/>
    </row>
    <row r="128" spans="1:11" x14ac:dyDescent="0.25">
      <c r="A128" t="s">
        <v>47</v>
      </c>
      <c r="B128">
        <v>1</v>
      </c>
      <c r="C128" s="3">
        <v>44874</v>
      </c>
      <c r="D128">
        <v>1</v>
      </c>
      <c r="K128" s="4"/>
    </row>
    <row r="129" spans="1:11" x14ac:dyDescent="0.25">
      <c r="A129" t="s">
        <v>47</v>
      </c>
      <c r="B129">
        <v>1</v>
      </c>
      <c r="C129" s="3">
        <v>44874</v>
      </c>
      <c r="D129">
        <v>1</v>
      </c>
      <c r="K129" s="4"/>
    </row>
    <row r="130" spans="1:11" x14ac:dyDescent="0.25">
      <c r="A130" t="s">
        <v>47</v>
      </c>
      <c r="B130">
        <v>1</v>
      </c>
      <c r="C130" s="3">
        <v>44874</v>
      </c>
      <c r="D130">
        <v>1</v>
      </c>
      <c r="K130" s="4"/>
    </row>
    <row r="131" spans="1:11" x14ac:dyDescent="0.25">
      <c r="A131" t="s">
        <v>47</v>
      </c>
      <c r="B131">
        <v>1</v>
      </c>
      <c r="C131" s="3">
        <v>44874</v>
      </c>
      <c r="D131">
        <v>1</v>
      </c>
      <c r="K131" s="4"/>
    </row>
    <row r="132" spans="1:11" x14ac:dyDescent="0.25">
      <c r="A132" t="s">
        <v>47</v>
      </c>
      <c r="B132">
        <v>1</v>
      </c>
      <c r="C132" s="3">
        <v>44874</v>
      </c>
      <c r="D132">
        <v>1</v>
      </c>
      <c r="K132" s="4"/>
    </row>
    <row r="133" spans="1:11" x14ac:dyDescent="0.25">
      <c r="A133" t="s">
        <v>47</v>
      </c>
      <c r="B133">
        <v>1</v>
      </c>
      <c r="C133" s="3">
        <v>44874</v>
      </c>
      <c r="D133">
        <v>1</v>
      </c>
      <c r="K133" s="4"/>
    </row>
    <row r="134" spans="1:11" x14ac:dyDescent="0.25">
      <c r="A134" t="s">
        <v>47</v>
      </c>
      <c r="B134">
        <v>1</v>
      </c>
      <c r="C134" s="3">
        <v>44874</v>
      </c>
      <c r="D134">
        <v>1</v>
      </c>
      <c r="K134" s="4"/>
    </row>
    <row r="135" spans="1:11" x14ac:dyDescent="0.25">
      <c r="A135" t="s">
        <v>47</v>
      </c>
      <c r="B135">
        <v>1</v>
      </c>
      <c r="C135" s="3">
        <v>44874</v>
      </c>
      <c r="D135">
        <v>1</v>
      </c>
      <c r="K135" s="4"/>
    </row>
    <row r="136" spans="1:11" x14ac:dyDescent="0.25">
      <c r="A136" t="s">
        <v>47</v>
      </c>
      <c r="B136">
        <v>1</v>
      </c>
      <c r="C136" s="3">
        <v>44874</v>
      </c>
      <c r="D136">
        <v>1</v>
      </c>
      <c r="K136" s="4"/>
    </row>
    <row r="137" spans="1:11" x14ac:dyDescent="0.25">
      <c r="A137" t="s">
        <v>47</v>
      </c>
      <c r="B137">
        <v>1</v>
      </c>
      <c r="C137" s="3">
        <v>44874</v>
      </c>
      <c r="D137">
        <v>1</v>
      </c>
      <c r="K137" s="4"/>
    </row>
    <row r="138" spans="1:11" x14ac:dyDescent="0.25">
      <c r="A138" t="s">
        <v>47</v>
      </c>
      <c r="B138">
        <v>1</v>
      </c>
      <c r="C138" s="3">
        <v>44874</v>
      </c>
      <c r="D138">
        <v>1</v>
      </c>
      <c r="K138" s="4"/>
    </row>
    <row r="139" spans="1:11" x14ac:dyDescent="0.25">
      <c r="A139" t="s">
        <v>47</v>
      </c>
      <c r="B139">
        <v>1</v>
      </c>
      <c r="C139" s="3">
        <v>44874</v>
      </c>
      <c r="D139">
        <v>1</v>
      </c>
      <c r="K139" s="4"/>
    </row>
    <row r="140" spans="1:11" x14ac:dyDescent="0.25">
      <c r="A140" t="s">
        <v>47</v>
      </c>
      <c r="B140">
        <v>1</v>
      </c>
      <c r="C140" s="3">
        <v>44874</v>
      </c>
      <c r="D140">
        <v>1</v>
      </c>
      <c r="K140" s="4"/>
    </row>
    <row r="141" spans="1:11" x14ac:dyDescent="0.25">
      <c r="A141" t="s">
        <v>47</v>
      </c>
      <c r="B141">
        <v>1</v>
      </c>
      <c r="C141" s="3">
        <v>44874</v>
      </c>
      <c r="D141">
        <v>1</v>
      </c>
      <c r="K141" s="4"/>
    </row>
    <row r="142" spans="1:11" x14ac:dyDescent="0.25">
      <c r="A142" t="s">
        <v>47</v>
      </c>
      <c r="B142">
        <v>1</v>
      </c>
      <c r="C142" s="3">
        <v>44874</v>
      </c>
      <c r="D142">
        <v>1</v>
      </c>
      <c r="K142" s="4"/>
    </row>
    <row r="143" spans="1:11" x14ac:dyDescent="0.25">
      <c r="A143" t="s">
        <v>47</v>
      </c>
      <c r="B143">
        <v>1</v>
      </c>
      <c r="C143" s="3">
        <v>44874</v>
      </c>
      <c r="D143">
        <v>2</v>
      </c>
      <c r="K143" s="4"/>
    </row>
    <row r="144" spans="1:11" x14ac:dyDescent="0.25">
      <c r="A144" t="s">
        <v>47</v>
      </c>
      <c r="B144">
        <v>1</v>
      </c>
      <c r="C144" s="3">
        <v>44875</v>
      </c>
      <c r="D144">
        <v>1</v>
      </c>
      <c r="K144" s="4"/>
    </row>
    <row r="145" spans="1:11" x14ac:dyDescent="0.25">
      <c r="A145" t="s">
        <v>47</v>
      </c>
      <c r="B145">
        <v>1</v>
      </c>
      <c r="C145" s="3">
        <v>44875</v>
      </c>
      <c r="D145">
        <v>1</v>
      </c>
      <c r="K145" s="4"/>
    </row>
    <row r="146" spans="1:11" x14ac:dyDescent="0.25">
      <c r="A146" t="s">
        <v>47</v>
      </c>
      <c r="B146">
        <v>1</v>
      </c>
      <c r="C146" s="3">
        <v>44875</v>
      </c>
      <c r="D146">
        <v>1</v>
      </c>
      <c r="K146" s="4"/>
    </row>
    <row r="147" spans="1:11" x14ac:dyDescent="0.25">
      <c r="A147" t="s">
        <v>47</v>
      </c>
      <c r="B147">
        <v>1</v>
      </c>
      <c r="C147" s="3">
        <v>44875</v>
      </c>
      <c r="D147">
        <v>2</v>
      </c>
      <c r="K147" s="4"/>
    </row>
    <row r="148" spans="1:11" x14ac:dyDescent="0.25">
      <c r="A148" t="s">
        <v>47</v>
      </c>
      <c r="B148">
        <v>1</v>
      </c>
      <c r="C148" s="3">
        <v>44875</v>
      </c>
      <c r="D148">
        <v>1</v>
      </c>
      <c r="K148" s="4"/>
    </row>
    <row r="149" spans="1:11" x14ac:dyDescent="0.25">
      <c r="A149" t="s">
        <v>47</v>
      </c>
      <c r="B149">
        <v>1</v>
      </c>
      <c r="C149" s="3">
        <v>44875</v>
      </c>
      <c r="D149">
        <v>1</v>
      </c>
      <c r="K149" s="4"/>
    </row>
    <row r="150" spans="1:11" x14ac:dyDescent="0.25">
      <c r="A150" t="s">
        <v>47</v>
      </c>
      <c r="B150">
        <v>1</v>
      </c>
      <c r="C150" s="3">
        <v>44875</v>
      </c>
      <c r="D150">
        <v>1</v>
      </c>
      <c r="K150" s="4"/>
    </row>
    <row r="151" spans="1:11" x14ac:dyDescent="0.25">
      <c r="A151" t="s">
        <v>47</v>
      </c>
      <c r="B151">
        <v>1</v>
      </c>
      <c r="C151" s="3">
        <v>44875</v>
      </c>
      <c r="D151">
        <v>1</v>
      </c>
      <c r="K151" s="4"/>
    </row>
    <row r="152" spans="1:11" x14ac:dyDescent="0.25">
      <c r="A152" t="s">
        <v>47</v>
      </c>
      <c r="B152">
        <v>1</v>
      </c>
      <c r="C152" s="3">
        <v>44875</v>
      </c>
      <c r="D152">
        <v>1</v>
      </c>
      <c r="K152" s="4"/>
    </row>
    <row r="153" spans="1:11" x14ac:dyDescent="0.25">
      <c r="A153" t="s">
        <v>47</v>
      </c>
      <c r="B153">
        <v>1</v>
      </c>
      <c r="C153" s="3">
        <v>44875</v>
      </c>
      <c r="D153">
        <v>1</v>
      </c>
      <c r="K153" s="4"/>
    </row>
    <row r="154" spans="1:11" x14ac:dyDescent="0.25">
      <c r="A154" t="s">
        <v>47</v>
      </c>
      <c r="B154">
        <v>1</v>
      </c>
      <c r="C154" s="3">
        <v>44875</v>
      </c>
      <c r="D154">
        <v>1</v>
      </c>
      <c r="K154" s="4"/>
    </row>
    <row r="155" spans="1:11" x14ac:dyDescent="0.25">
      <c r="A155" t="s">
        <v>47</v>
      </c>
      <c r="B155">
        <v>1</v>
      </c>
      <c r="C155" s="3">
        <v>44875</v>
      </c>
      <c r="D155">
        <v>1</v>
      </c>
      <c r="K155" s="4"/>
    </row>
    <row r="156" spans="1:11" x14ac:dyDescent="0.25">
      <c r="A156" t="s">
        <v>47</v>
      </c>
      <c r="B156">
        <v>1</v>
      </c>
      <c r="C156" s="3">
        <v>44875</v>
      </c>
      <c r="D156">
        <v>2</v>
      </c>
      <c r="K156" s="4"/>
    </row>
    <row r="157" spans="1:11" x14ac:dyDescent="0.25">
      <c r="A157" t="s">
        <v>47</v>
      </c>
      <c r="B157">
        <v>1</v>
      </c>
      <c r="C157" s="3">
        <v>44875</v>
      </c>
      <c r="D157">
        <v>1</v>
      </c>
      <c r="K157" s="4"/>
    </row>
    <row r="158" spans="1:11" x14ac:dyDescent="0.25">
      <c r="A158" t="s">
        <v>47</v>
      </c>
      <c r="B158">
        <v>1</v>
      </c>
      <c r="C158" s="3">
        <v>44875</v>
      </c>
      <c r="D158">
        <v>1</v>
      </c>
      <c r="K158" s="4"/>
    </row>
    <row r="159" spans="1:11" x14ac:dyDescent="0.25">
      <c r="A159" t="s">
        <v>47</v>
      </c>
      <c r="B159">
        <v>1</v>
      </c>
      <c r="C159" s="3">
        <v>44875</v>
      </c>
      <c r="D159">
        <v>1</v>
      </c>
      <c r="K159" s="4"/>
    </row>
    <row r="160" spans="1:11" x14ac:dyDescent="0.25">
      <c r="A160" t="s">
        <v>47</v>
      </c>
      <c r="B160">
        <v>1</v>
      </c>
      <c r="C160" s="3">
        <v>44875</v>
      </c>
      <c r="D160">
        <v>1</v>
      </c>
      <c r="K160" s="4"/>
    </row>
    <row r="161" spans="1:11" x14ac:dyDescent="0.25">
      <c r="A161" t="s">
        <v>47</v>
      </c>
      <c r="B161">
        <v>1</v>
      </c>
      <c r="C161" s="3">
        <v>44875</v>
      </c>
      <c r="D161">
        <v>2</v>
      </c>
      <c r="K161" s="4"/>
    </row>
    <row r="162" spans="1:11" x14ac:dyDescent="0.25">
      <c r="A162" t="s">
        <v>47</v>
      </c>
      <c r="B162">
        <v>1</v>
      </c>
      <c r="C162" s="3">
        <v>44875</v>
      </c>
      <c r="D162">
        <v>1</v>
      </c>
      <c r="K162" s="4"/>
    </row>
    <row r="163" spans="1:11" x14ac:dyDescent="0.25">
      <c r="A163" t="s">
        <v>47</v>
      </c>
      <c r="B163">
        <v>1</v>
      </c>
      <c r="C163" s="3">
        <v>44875</v>
      </c>
      <c r="D163">
        <v>1</v>
      </c>
      <c r="K163" s="4"/>
    </row>
    <row r="164" spans="1:11" x14ac:dyDescent="0.25">
      <c r="A164" t="s">
        <v>47</v>
      </c>
      <c r="B164">
        <v>1</v>
      </c>
      <c r="C164" s="3">
        <v>44875</v>
      </c>
      <c r="D164">
        <v>1</v>
      </c>
      <c r="K164" s="4"/>
    </row>
    <row r="165" spans="1:11" x14ac:dyDescent="0.25">
      <c r="A165" t="s">
        <v>47</v>
      </c>
      <c r="B165">
        <v>1</v>
      </c>
      <c r="C165" s="3">
        <v>44875</v>
      </c>
      <c r="D165">
        <v>1</v>
      </c>
      <c r="K165" s="4"/>
    </row>
    <row r="166" spans="1:11" x14ac:dyDescent="0.25">
      <c r="A166" t="s">
        <v>47</v>
      </c>
      <c r="B166">
        <v>1</v>
      </c>
      <c r="C166" s="3">
        <v>44875</v>
      </c>
      <c r="D166">
        <v>1</v>
      </c>
      <c r="K166" s="4"/>
    </row>
    <row r="167" spans="1:11" x14ac:dyDescent="0.25">
      <c r="A167" t="s">
        <v>47</v>
      </c>
      <c r="B167">
        <v>1</v>
      </c>
      <c r="C167" s="3">
        <v>44875</v>
      </c>
      <c r="D167">
        <v>1</v>
      </c>
      <c r="K167" s="4"/>
    </row>
    <row r="168" spans="1:11" x14ac:dyDescent="0.25">
      <c r="A168" t="s">
        <v>47</v>
      </c>
      <c r="B168">
        <v>1</v>
      </c>
      <c r="C168" s="3">
        <v>44875</v>
      </c>
      <c r="D168">
        <v>1</v>
      </c>
      <c r="K168" s="4"/>
    </row>
    <row r="169" spans="1:11" x14ac:dyDescent="0.25">
      <c r="A169" t="s">
        <v>47</v>
      </c>
      <c r="B169">
        <v>1</v>
      </c>
      <c r="C169" s="3">
        <v>44875</v>
      </c>
      <c r="D169">
        <v>1</v>
      </c>
      <c r="K169" s="4"/>
    </row>
    <row r="170" spans="1:11" x14ac:dyDescent="0.25">
      <c r="A170" t="s">
        <v>47</v>
      </c>
      <c r="B170">
        <v>1</v>
      </c>
      <c r="C170" s="3">
        <v>44875</v>
      </c>
      <c r="D170">
        <v>1</v>
      </c>
      <c r="K170" s="4"/>
    </row>
    <row r="171" spans="1:11" x14ac:dyDescent="0.25">
      <c r="A171" t="s">
        <v>47</v>
      </c>
      <c r="B171">
        <v>1</v>
      </c>
      <c r="C171" s="3">
        <v>44875</v>
      </c>
      <c r="D171">
        <v>1</v>
      </c>
      <c r="K171" s="4"/>
    </row>
    <row r="172" spans="1:11" x14ac:dyDescent="0.25">
      <c r="A172" t="s">
        <v>47</v>
      </c>
      <c r="B172">
        <v>1</v>
      </c>
      <c r="C172" s="3">
        <v>44875</v>
      </c>
      <c r="D172">
        <v>1</v>
      </c>
      <c r="K172" s="4"/>
    </row>
    <row r="173" spans="1:11" x14ac:dyDescent="0.25">
      <c r="A173" t="s">
        <v>47</v>
      </c>
      <c r="B173">
        <v>1</v>
      </c>
      <c r="C173" s="3">
        <v>44875</v>
      </c>
      <c r="D173">
        <v>1</v>
      </c>
      <c r="K173" s="4"/>
    </row>
    <row r="174" spans="1:11" x14ac:dyDescent="0.25">
      <c r="A174" t="s">
        <v>47</v>
      </c>
      <c r="B174">
        <v>1</v>
      </c>
      <c r="C174" s="3">
        <v>44875</v>
      </c>
      <c r="D174">
        <v>1</v>
      </c>
      <c r="K174" s="4"/>
    </row>
    <row r="175" spans="1:11" x14ac:dyDescent="0.25">
      <c r="A175" t="s">
        <v>47</v>
      </c>
      <c r="B175">
        <v>1</v>
      </c>
      <c r="C175" s="3">
        <v>44875</v>
      </c>
      <c r="D175">
        <v>1</v>
      </c>
      <c r="K175" s="4"/>
    </row>
    <row r="176" spans="1:11" x14ac:dyDescent="0.25">
      <c r="A176" t="s">
        <v>47</v>
      </c>
      <c r="B176">
        <v>1</v>
      </c>
      <c r="C176" s="3">
        <v>44875</v>
      </c>
      <c r="D176">
        <v>0</v>
      </c>
      <c r="K176" s="4"/>
    </row>
    <row r="177" spans="1:11" x14ac:dyDescent="0.25">
      <c r="A177" t="s">
        <v>48</v>
      </c>
      <c r="B177">
        <v>2</v>
      </c>
      <c r="C177" s="3">
        <v>44875</v>
      </c>
      <c r="D177">
        <v>1</v>
      </c>
      <c r="K177" s="4"/>
    </row>
    <row r="178" spans="1:11" x14ac:dyDescent="0.25">
      <c r="A178" t="s">
        <v>48</v>
      </c>
      <c r="B178">
        <v>2</v>
      </c>
      <c r="C178" s="3">
        <v>44875</v>
      </c>
      <c r="D178">
        <v>1</v>
      </c>
      <c r="K178" s="4"/>
    </row>
    <row r="179" spans="1:11" x14ac:dyDescent="0.25">
      <c r="A179" t="s">
        <v>48</v>
      </c>
      <c r="B179">
        <v>2</v>
      </c>
      <c r="C179" s="3">
        <v>44875</v>
      </c>
      <c r="D179">
        <v>1</v>
      </c>
      <c r="K179" s="4"/>
    </row>
    <row r="180" spans="1:11" x14ac:dyDescent="0.25">
      <c r="A180" t="s">
        <v>48</v>
      </c>
      <c r="B180">
        <v>2</v>
      </c>
      <c r="C180" s="3">
        <v>44875</v>
      </c>
      <c r="D180">
        <v>1</v>
      </c>
      <c r="K180" s="4"/>
    </row>
    <row r="181" spans="1:11" x14ac:dyDescent="0.25">
      <c r="A181" t="s">
        <v>48</v>
      </c>
      <c r="B181">
        <v>2</v>
      </c>
      <c r="C181" s="3">
        <v>44875</v>
      </c>
      <c r="D181">
        <v>1</v>
      </c>
      <c r="K181" s="4"/>
    </row>
    <row r="182" spans="1:11" x14ac:dyDescent="0.25">
      <c r="A182" t="s">
        <v>48</v>
      </c>
      <c r="B182">
        <v>2</v>
      </c>
      <c r="C182" s="3">
        <v>44875</v>
      </c>
      <c r="D182">
        <v>1</v>
      </c>
      <c r="K182" s="4"/>
    </row>
    <row r="183" spans="1:11" x14ac:dyDescent="0.25">
      <c r="A183" t="s">
        <v>48</v>
      </c>
      <c r="B183">
        <v>2</v>
      </c>
      <c r="C183" s="3">
        <v>44875</v>
      </c>
      <c r="D183">
        <v>1</v>
      </c>
      <c r="K183" s="4"/>
    </row>
    <row r="184" spans="1:11" x14ac:dyDescent="0.25">
      <c r="A184" t="s">
        <v>48</v>
      </c>
      <c r="B184">
        <v>2</v>
      </c>
      <c r="C184" s="3">
        <v>44875</v>
      </c>
      <c r="D184">
        <v>1</v>
      </c>
      <c r="K184" s="4"/>
    </row>
    <row r="185" spans="1:11" x14ac:dyDescent="0.25">
      <c r="A185" t="s">
        <v>48</v>
      </c>
      <c r="B185">
        <v>2</v>
      </c>
      <c r="C185" s="3">
        <v>44875</v>
      </c>
      <c r="D185">
        <v>1</v>
      </c>
      <c r="K185" s="4"/>
    </row>
    <row r="186" spans="1:11" x14ac:dyDescent="0.25">
      <c r="A186" t="s">
        <v>48</v>
      </c>
      <c r="B186">
        <v>2</v>
      </c>
      <c r="C186" s="3">
        <v>44875</v>
      </c>
      <c r="D186">
        <v>1</v>
      </c>
      <c r="K186" s="4"/>
    </row>
    <row r="187" spans="1:11" x14ac:dyDescent="0.25">
      <c r="A187" t="s">
        <v>48</v>
      </c>
      <c r="B187">
        <v>2</v>
      </c>
      <c r="C187" s="3">
        <v>44875</v>
      </c>
      <c r="D187">
        <v>0</v>
      </c>
      <c r="K187" s="4"/>
    </row>
    <row r="188" spans="1:11" x14ac:dyDescent="0.25">
      <c r="K188" s="4"/>
    </row>
    <row r="189" spans="1:11" x14ac:dyDescent="0.25">
      <c r="K189" s="4"/>
    </row>
    <row r="190" spans="1:11" x14ac:dyDescent="0.25">
      <c r="K190" s="4"/>
    </row>
    <row r="191" spans="1:11" x14ac:dyDescent="0.25">
      <c r="K191" s="4"/>
    </row>
    <row r="192" spans="1:11" x14ac:dyDescent="0.25">
      <c r="K192" s="4"/>
    </row>
    <row r="193" spans="11:11" x14ac:dyDescent="0.25">
      <c r="K193" s="4"/>
    </row>
    <row r="194" spans="11:11" x14ac:dyDescent="0.25">
      <c r="K194" s="4"/>
    </row>
    <row r="195" spans="11:11" x14ac:dyDescent="0.25">
      <c r="K195" s="4"/>
    </row>
    <row r="196" spans="11:11" x14ac:dyDescent="0.25">
      <c r="K196" s="4"/>
    </row>
    <row r="197" spans="11:11" x14ac:dyDescent="0.25">
      <c r="K197" s="4"/>
    </row>
    <row r="198" spans="11:11" x14ac:dyDescent="0.25">
      <c r="K198" s="4"/>
    </row>
    <row r="199" spans="11:11" x14ac:dyDescent="0.25">
      <c r="K199" s="4"/>
    </row>
    <row r="200" spans="11:11" x14ac:dyDescent="0.25">
      <c r="K200" s="4"/>
    </row>
    <row r="201" spans="11:11" x14ac:dyDescent="0.25">
      <c r="K201" s="4"/>
    </row>
    <row r="202" spans="11:11" x14ac:dyDescent="0.25">
      <c r="K202" s="4"/>
    </row>
    <row r="203" spans="11:11" x14ac:dyDescent="0.25">
      <c r="K203" s="4"/>
    </row>
    <row r="204" spans="11:11" x14ac:dyDescent="0.25">
      <c r="K204" s="4"/>
    </row>
    <row r="205" spans="11:11" x14ac:dyDescent="0.25">
      <c r="K205" s="4"/>
    </row>
    <row r="206" spans="11:11" x14ac:dyDescent="0.25">
      <c r="K206" s="4"/>
    </row>
    <row r="207" spans="11:11" x14ac:dyDescent="0.25">
      <c r="K207" s="4"/>
    </row>
    <row r="208" spans="11:11" x14ac:dyDescent="0.25">
      <c r="K208" s="4"/>
    </row>
    <row r="209" spans="11:11" x14ac:dyDescent="0.25">
      <c r="K209" s="4"/>
    </row>
    <row r="210" spans="11:11" x14ac:dyDescent="0.25">
      <c r="K210" s="4"/>
    </row>
    <row r="211" spans="11:11" x14ac:dyDescent="0.25">
      <c r="K211" s="4"/>
    </row>
    <row r="212" spans="11:11" x14ac:dyDescent="0.25">
      <c r="K212" s="4"/>
    </row>
    <row r="213" spans="11:11" x14ac:dyDescent="0.25">
      <c r="K213" s="4"/>
    </row>
    <row r="214" spans="11:11" x14ac:dyDescent="0.25">
      <c r="K214" s="4"/>
    </row>
    <row r="215" spans="11:11" x14ac:dyDescent="0.25">
      <c r="K215" s="4"/>
    </row>
    <row r="216" spans="11:11" x14ac:dyDescent="0.25">
      <c r="K216" s="4"/>
    </row>
    <row r="217" spans="11:11" x14ac:dyDescent="0.25">
      <c r="K217" s="4"/>
    </row>
    <row r="218" spans="11:11" x14ac:dyDescent="0.25">
      <c r="K218" s="4"/>
    </row>
    <row r="219" spans="11:11" x14ac:dyDescent="0.25">
      <c r="K219" s="4"/>
    </row>
    <row r="220" spans="11:11" x14ac:dyDescent="0.25">
      <c r="K220" s="4"/>
    </row>
    <row r="221" spans="11:11" x14ac:dyDescent="0.25">
      <c r="K221" s="4"/>
    </row>
    <row r="222" spans="11:11" x14ac:dyDescent="0.25">
      <c r="K222" s="4"/>
    </row>
    <row r="223" spans="11:11" x14ac:dyDescent="0.25">
      <c r="K223" s="4"/>
    </row>
    <row r="224" spans="11:11" x14ac:dyDescent="0.25">
      <c r="K224" s="4"/>
    </row>
    <row r="225" spans="11:11" x14ac:dyDescent="0.25">
      <c r="K225" s="4"/>
    </row>
    <row r="226" spans="11:11" x14ac:dyDescent="0.25">
      <c r="K226" s="4"/>
    </row>
    <row r="227" spans="11:11" x14ac:dyDescent="0.25">
      <c r="K227" s="4"/>
    </row>
    <row r="228" spans="11:11" x14ac:dyDescent="0.25">
      <c r="K228" s="4"/>
    </row>
    <row r="229" spans="11:11" x14ac:dyDescent="0.25">
      <c r="K229" s="4"/>
    </row>
    <row r="230" spans="11:11" x14ac:dyDescent="0.25">
      <c r="K230" s="4"/>
    </row>
    <row r="231" spans="11:11" x14ac:dyDescent="0.25">
      <c r="K231" s="4"/>
    </row>
    <row r="232" spans="11:11" x14ac:dyDescent="0.25">
      <c r="K232" s="4"/>
    </row>
    <row r="233" spans="11:11" x14ac:dyDescent="0.25">
      <c r="K233" s="4"/>
    </row>
    <row r="234" spans="11:11" x14ac:dyDescent="0.25">
      <c r="K234" s="4"/>
    </row>
    <row r="235" spans="11:11" x14ac:dyDescent="0.25">
      <c r="K235" s="4"/>
    </row>
    <row r="236" spans="11:11" x14ac:dyDescent="0.25">
      <c r="K236" s="4"/>
    </row>
    <row r="237" spans="11:11" x14ac:dyDescent="0.25">
      <c r="K237" s="4"/>
    </row>
    <row r="238" spans="11:11" x14ac:dyDescent="0.25">
      <c r="K238" s="4"/>
    </row>
    <row r="239" spans="11:11" x14ac:dyDescent="0.25">
      <c r="K239" s="4"/>
    </row>
    <row r="240" spans="11:11" x14ac:dyDescent="0.25">
      <c r="K240" s="4"/>
    </row>
    <row r="241" spans="11:11" x14ac:dyDescent="0.25">
      <c r="K241" s="4"/>
    </row>
    <row r="242" spans="11:11" x14ac:dyDescent="0.25">
      <c r="K242" s="4"/>
    </row>
    <row r="243" spans="11:11" x14ac:dyDescent="0.25">
      <c r="K243" s="4"/>
    </row>
    <row r="244" spans="11:11" x14ac:dyDescent="0.25">
      <c r="K244" s="4"/>
    </row>
    <row r="245" spans="11:11" x14ac:dyDescent="0.25">
      <c r="K245" s="4"/>
    </row>
    <row r="246" spans="11:11" x14ac:dyDescent="0.25">
      <c r="K246" s="4"/>
    </row>
    <row r="247" spans="11:11" x14ac:dyDescent="0.25">
      <c r="K247" s="4"/>
    </row>
    <row r="248" spans="11:11" x14ac:dyDescent="0.25">
      <c r="K248" s="4"/>
    </row>
    <row r="249" spans="11:11" x14ac:dyDescent="0.25">
      <c r="K249" s="4"/>
    </row>
    <row r="250" spans="11:11" x14ac:dyDescent="0.25">
      <c r="K250" s="4"/>
    </row>
    <row r="251" spans="11:11" x14ac:dyDescent="0.25">
      <c r="K251" s="4"/>
    </row>
    <row r="252" spans="11:11" x14ac:dyDescent="0.25">
      <c r="K252" s="4"/>
    </row>
    <row r="253" spans="11:11" x14ac:dyDescent="0.25">
      <c r="K253" s="4"/>
    </row>
    <row r="254" spans="11:11" x14ac:dyDescent="0.25">
      <c r="K254" s="4"/>
    </row>
    <row r="255" spans="11:11" x14ac:dyDescent="0.25">
      <c r="K255" s="4"/>
    </row>
    <row r="256" spans="11:11" x14ac:dyDescent="0.25">
      <c r="K256" s="4"/>
    </row>
    <row r="257" spans="11:11" x14ac:dyDescent="0.25">
      <c r="K257" s="4"/>
    </row>
    <row r="258" spans="11:11" x14ac:dyDescent="0.25">
      <c r="K258" s="4"/>
    </row>
    <row r="259" spans="11:11" x14ac:dyDescent="0.25">
      <c r="K259" s="4"/>
    </row>
    <row r="260" spans="11:11" x14ac:dyDescent="0.25">
      <c r="K260" s="4"/>
    </row>
    <row r="261" spans="11:11" x14ac:dyDescent="0.25">
      <c r="K261" s="4"/>
    </row>
    <row r="262" spans="11:11" x14ac:dyDescent="0.25">
      <c r="K262" s="4"/>
    </row>
    <row r="263" spans="11:11" x14ac:dyDescent="0.25">
      <c r="K263" s="4"/>
    </row>
    <row r="264" spans="11:11" x14ac:dyDescent="0.25">
      <c r="K264" s="4"/>
    </row>
    <row r="265" spans="11:11" x14ac:dyDescent="0.25">
      <c r="K265" s="4"/>
    </row>
    <row r="266" spans="11:11" x14ac:dyDescent="0.25">
      <c r="K266" s="4"/>
    </row>
    <row r="267" spans="11:11" x14ac:dyDescent="0.25">
      <c r="K267" s="4"/>
    </row>
    <row r="268" spans="11:11" x14ac:dyDescent="0.25">
      <c r="K268" s="4"/>
    </row>
    <row r="269" spans="11:11" x14ac:dyDescent="0.25">
      <c r="K269" s="4"/>
    </row>
    <row r="270" spans="11:11" x14ac:dyDescent="0.25">
      <c r="K270" s="4"/>
    </row>
    <row r="271" spans="11:11" x14ac:dyDescent="0.25">
      <c r="K271" s="4"/>
    </row>
    <row r="300" spans="26:26" x14ac:dyDescent="0.25">
      <c r="Z300">
        <f>3+1</f>
        <v>4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47"/>
  <sheetViews>
    <sheetView workbookViewId="0">
      <selection activeCell="I3" sqref="I3"/>
    </sheetView>
  </sheetViews>
  <sheetFormatPr baseColWidth="10" defaultRowHeight="15" x14ac:dyDescent="0.25"/>
  <sheetData>
    <row r="1" spans="1:6" x14ac:dyDescent="0.25">
      <c r="A1" t="s">
        <v>47</v>
      </c>
      <c r="B1">
        <v>1</v>
      </c>
      <c r="C1" t="s">
        <v>50</v>
      </c>
    </row>
    <row r="2" spans="1:6" x14ac:dyDescent="0.25">
      <c r="A2" t="s">
        <v>48</v>
      </c>
    </row>
    <row r="3" spans="1:6" x14ac:dyDescent="0.25">
      <c r="E3" t="s">
        <v>49</v>
      </c>
      <c r="F3" t="s">
        <v>48</v>
      </c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Feuil1</vt:lpstr>
      <vt:lpstr>Grades</vt:lpstr>
      <vt:lpstr>Resultats</vt:lpstr>
      <vt:lpstr>Utilisateurs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GOUDON Marie - 1CL</dc:creator>
  <cp:lastModifiedBy>GOUDON Marie - 1CL</cp:lastModifiedBy>
  <cp:lastPrinted>2022-10-25T19:22:20Z</cp:lastPrinted>
  <dcterms:created xsi:type="dcterms:W3CDTF">2022-10-25T18:38:45Z</dcterms:created>
  <dcterms:modified xsi:type="dcterms:W3CDTF">2022-11-10T14:36:53Z</dcterms:modified>
</cp:coreProperties>
</file>