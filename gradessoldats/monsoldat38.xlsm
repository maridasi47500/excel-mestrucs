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4"/>
  </bookViews>
  <sheets>
    <sheet name="test" sheetId="1" r:id="rId1"/>
    <sheet name="Feuil1" sheetId="6" r:id="rId2"/>
    <sheet name="combattant" sheetId="5" r:id="rId3"/>
    <sheet name="Grades" sheetId="7" r:id="rId4"/>
    <sheet name="Score" sheetId="2" r:id="rId5"/>
    <sheet name="Feuil3" sheetId="3" r:id="rId6"/>
    <sheet name="Feuil4" sheetId="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1" l="1"/>
  <c r="Q8" i="1" s="1"/>
  <c r="M8" i="1"/>
  <c r="N7" i="1"/>
  <c r="Q7" i="1" s="1"/>
  <c r="M7" i="1"/>
  <c r="N6" i="1"/>
  <c r="Q6" i="1" s="1"/>
  <c r="M6" i="1"/>
  <c r="N5" i="1"/>
  <c r="Q5" i="1" s="1"/>
  <c r="M5" i="1"/>
  <c r="N4" i="1"/>
  <c r="M4" i="1"/>
  <c r="Q4" i="1" s="1"/>
  <c r="N3" i="1"/>
  <c r="M3" i="1"/>
  <c r="Q3" i="1" s="1"/>
  <c r="M2" i="1"/>
  <c r="N2" i="1"/>
  <c r="Q2" i="1" s="1"/>
  <c r="M1" i="1"/>
  <c r="N1" i="1"/>
  <c r="Q1" i="1" s="1"/>
  <c r="E7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M8" i="4" l="1"/>
  <c r="N8" i="4"/>
  <c r="M7" i="4"/>
  <c r="N7" i="4"/>
  <c r="M6" i="4"/>
  <c r="N6" i="4"/>
  <c r="M5" i="4"/>
  <c r="N5" i="4"/>
  <c r="M4" i="4"/>
  <c r="N4" i="4"/>
  <c r="M3" i="4"/>
  <c r="N3" i="4"/>
  <c r="M2" i="4"/>
  <c r="N2" i="4"/>
  <c r="M1" i="4"/>
  <c r="N1" i="4"/>
  <c r="O1" i="3" l="1"/>
  <c r="O2" i="3"/>
  <c r="K2" i="3" l="1"/>
  <c r="L2" i="3"/>
  <c r="K1" i="3"/>
  <c r="L1" i="3"/>
  <c r="M8" i="3"/>
  <c r="N8" i="3"/>
  <c r="M7" i="3"/>
  <c r="N7" i="3"/>
  <c r="M6" i="3"/>
  <c r="N6" i="3"/>
  <c r="M5" i="3"/>
  <c r="N5" i="3"/>
  <c r="M4" i="3"/>
  <c r="N4" i="3"/>
  <c r="M3" i="3"/>
  <c r="N3" i="3"/>
  <c r="M2" i="3"/>
  <c r="N2" i="3"/>
  <c r="M1" i="3"/>
  <c r="N1" i="3"/>
</calcChain>
</file>

<file path=xl/sharedStrings.xml><?xml version="1.0" encoding="utf-8"?>
<sst xmlns="http://schemas.openxmlformats.org/spreadsheetml/2006/main" count="235" uniqueCount="161">
  <si>
    <t>EnQMh5auYypZ4K</t>
  </si>
  <si>
    <t>EngTZ7dGrnRKwv</t>
  </si>
  <si>
    <t>Ennm3fP3ddSjsy</t>
  </si>
  <si>
    <t>EnbZaFuLAoDEgE</t>
  </si>
  <si>
    <t>EnDwAoRJwoKHTz</t>
  </si>
  <si>
    <t>EnOgJFy1Dr1xD2</t>
  </si>
  <si>
    <t>EnvDXawT7pP6rQ</t>
  </si>
  <si>
    <t>EnTmog6Yd64WVl</t>
  </si>
  <si>
    <t>FledEdhPWtFq1SU</t>
  </si>
  <si>
    <t>SI(O1&gt; 0;"FledEdhPWtFq1SU";"no")</t>
  </si>
  <si>
    <t>Fleeo0lm5Phv3Uh</t>
  </si>
  <si>
    <t>SI(O2&gt; 0;"Fleeo0lm5Phv3Uh";"no")</t>
  </si>
  <si>
    <t>Enlxwp8HVWtbiz</t>
  </si>
  <si>
    <t>EnADercTpLVXLk</t>
  </si>
  <si>
    <t>EnHWhzOfaBWwGn</t>
  </si>
  <si>
    <t>EnwJpZtYyLHQut</t>
  </si>
  <si>
    <t>EnYgOIPVtLOU7p</t>
  </si>
  <si>
    <t>EnjRXZxeBO4KRS</t>
  </si>
  <si>
    <t>EnMGvecbhTwziu</t>
  </si>
  <si>
    <t>EnrDjQn6YnuSwm</t>
  </si>
  <si>
    <t>RSMA GUYANE</t>
  </si>
  <si>
    <t>1CL</t>
  </si>
  <si>
    <t>D:\Profils\goudon.marie\Bureau\grades\1CL.jpg</t>
  </si>
  <si>
    <t>première classe</t>
  </si>
  <si>
    <t>CPL</t>
  </si>
  <si>
    <t>D:\Profils\goudon.marie\Bureau\grades\CPL.jpg</t>
  </si>
  <si>
    <t>caporal</t>
  </si>
  <si>
    <t>CCH</t>
  </si>
  <si>
    <t>D:\Profils\goudon.marie\Bureau\grades\CCH.jpg</t>
  </si>
  <si>
    <t>caporal-chef</t>
  </si>
  <si>
    <t>CC1</t>
  </si>
  <si>
    <t>D:\Profils\goudon.marie\Bureau\grades\cc1.jpg</t>
  </si>
  <si>
    <t>SGT</t>
  </si>
  <si>
    <t>D:\Profils\goudon.marie\Bureau\grades\SGT.jpg</t>
  </si>
  <si>
    <t>sergent</t>
  </si>
  <si>
    <t>SCH</t>
  </si>
  <si>
    <t>D:\Profils\goudon.marie\Bureau\grades\SCH.jpg</t>
  </si>
  <si>
    <t>chef</t>
  </si>
  <si>
    <t>D:\Profils\goudon.marie\Bureau\grades\adj.jpg</t>
  </si>
  <si>
    <t>adjudant</t>
  </si>
  <si>
    <t>ADC</t>
  </si>
  <si>
    <t>D:\Profils\goudon.marie\Bureau\grades\adc.jpg</t>
  </si>
  <si>
    <t>adjudant-chef</t>
  </si>
  <si>
    <t>MAJ</t>
  </si>
  <si>
    <t>D:\Profils\goudon.marie\Bureau\grades\mjr.jpg</t>
  </si>
  <si>
    <t>major</t>
  </si>
  <si>
    <t>ASP</t>
  </si>
  <si>
    <t>D:\Profils\goudon.marie\Bureau\grades\asp.jpg</t>
  </si>
  <si>
    <t>aspirant</t>
  </si>
  <si>
    <t>SLT</t>
  </si>
  <si>
    <t>D:\Profils\goudon.marie\Bureau\grades\sltn.jpg</t>
  </si>
  <si>
    <t>sous lieutenant</t>
  </si>
  <si>
    <t>LTN</t>
  </si>
  <si>
    <t>D:\Profils\goudon.marie\Bureau\grades\ltn.jpg</t>
  </si>
  <si>
    <t>lieutenant</t>
  </si>
  <si>
    <t>D:\Profils\goudon.marie\Bureau\grades\cne.jpg</t>
  </si>
  <si>
    <t>capitaine</t>
  </si>
  <si>
    <t>CDT</t>
  </si>
  <si>
    <t>D:\Profils\goudon.marie\Bureau\grades\commanda.jpg</t>
  </si>
  <si>
    <t>commandant</t>
  </si>
  <si>
    <t>LCL</t>
  </si>
  <si>
    <t>D:\Profils\goudon.marie\Bureau\grades\lcl.jpg</t>
  </si>
  <si>
    <t>colonel</t>
  </si>
  <si>
    <t>COL</t>
  </si>
  <si>
    <t>D:\Profils\goudon.marie\Bureau\grades\cln.jpg</t>
  </si>
  <si>
    <t>SDT</t>
  </si>
  <si>
    <t>VS</t>
  </si>
  <si>
    <t>VT</t>
  </si>
  <si>
    <t>CNE</t>
  </si>
  <si>
    <t>ADJ</t>
  </si>
  <si>
    <t>D:\Profils\goudon.marie\Bureau\grades\sansgalon.jpg</t>
  </si>
  <si>
    <t>O. AKRONLAFOE</t>
  </si>
  <si>
    <t>C. ARNOLD</t>
  </si>
  <si>
    <t>B. ATENZA</t>
  </si>
  <si>
    <t>J. BOLOGO</t>
  </si>
  <si>
    <t>S. COUTAZ</t>
  </si>
  <si>
    <t>G. ANNE</t>
  </si>
  <si>
    <t>J. KALLOU</t>
  </si>
  <si>
    <t>J. LAHSEN</t>
  </si>
  <si>
    <t>A. MAHARAUX</t>
  </si>
  <si>
    <t>T. MAILLY</t>
  </si>
  <si>
    <t>J. GUILBEAULT</t>
  </si>
  <si>
    <t>J. PITTIE</t>
  </si>
  <si>
    <t>M. THEVENOT</t>
  </si>
  <si>
    <t>D. LUEPAK</t>
  </si>
  <si>
    <t>V. HENRY</t>
  </si>
  <si>
    <t>M. NAWANG</t>
  </si>
  <si>
    <t>J. BASSET</t>
  </si>
  <si>
    <t>E. BRIMCHAM</t>
  </si>
  <si>
    <t>M. DELEBECQ</t>
  </si>
  <si>
    <t>M. LOUIS</t>
  </si>
  <si>
    <t>F. ERNEST</t>
  </si>
  <si>
    <t>M. GOUDON</t>
  </si>
  <si>
    <t>F. GRANDISSON</t>
  </si>
  <si>
    <t>S. DONNET</t>
  </si>
  <si>
    <t>C. AKODO</t>
  </si>
  <si>
    <t>A. ALEXANDRE</t>
  </si>
  <si>
    <t>K. BENTH</t>
  </si>
  <si>
    <t>O. MANENE</t>
  </si>
  <si>
    <t>R. RESEAU</t>
  </si>
  <si>
    <t>O. ABIAOU</t>
  </si>
  <si>
    <t>G. SAINT LO</t>
  </si>
  <si>
    <t>M. DEUKOE</t>
  </si>
  <si>
    <t>C. NORDZEE</t>
  </si>
  <si>
    <t>S. POLIDOR</t>
  </si>
  <si>
    <t>A. HOEN</t>
  </si>
  <si>
    <t>P. RUGGIERO</t>
  </si>
  <si>
    <t>J. GATELIER</t>
  </si>
  <si>
    <t>R. AMAYOTA</t>
  </si>
  <si>
    <t>R. LAMBERT</t>
  </si>
  <si>
    <t>J. ALEJATANI</t>
  </si>
  <si>
    <t>N. PETIT</t>
  </si>
  <si>
    <t>CR1</t>
  </si>
  <si>
    <t>S. PAPOT</t>
  </si>
  <si>
    <t>H. DANDINES</t>
  </si>
  <si>
    <t>C. DEIANA</t>
  </si>
  <si>
    <t>A. GNAVIT</t>
  </si>
  <si>
    <t>J. LOJACONO</t>
  </si>
  <si>
    <t>N. MAKHLOUF</t>
  </si>
  <si>
    <t>R. ASSELIE</t>
  </si>
  <si>
    <t>F. PAYE</t>
  </si>
  <si>
    <t xml:space="preserve">N. PANSA </t>
  </si>
  <si>
    <t>C. YA</t>
  </si>
  <si>
    <t>K. GOMEZ ROSARIO</t>
  </si>
  <si>
    <t>A. KRAAM</t>
  </si>
  <si>
    <t>S. JOHN</t>
  </si>
  <si>
    <t>L. GUY</t>
  </si>
  <si>
    <t>J. FRESSY</t>
  </si>
  <si>
    <t>N. MATHIEU</t>
  </si>
  <si>
    <t>C. ROY</t>
  </si>
  <si>
    <t>combattant_droite</t>
  </si>
  <si>
    <t>combattant_gauche</t>
  </si>
  <si>
    <t>combattant_bas</t>
  </si>
  <si>
    <t>combattant_haut</t>
  </si>
  <si>
    <t>EnNODMQ2vsgKH7</t>
  </si>
  <si>
    <t>EnwhiRek5EBhoD</t>
  </si>
  <si>
    <t>EnvHkv0ikTUBtw</t>
  </si>
  <si>
    <t>EnyIAcochsRbku</t>
  </si>
  <si>
    <t>EnAOmSg8BrPU7B</t>
  </si>
  <si>
    <t>EncYkIlCWpTi7w</t>
  </si>
  <si>
    <t>EnoXdVWlZVfTle</t>
  </si>
  <si>
    <t>EnVycK3F0obnPg</t>
  </si>
  <si>
    <t>SEnNODMQ2vsgKH7</t>
  </si>
  <si>
    <t>GEnNODMQ2vsgKH7</t>
  </si>
  <si>
    <t>SEnwhiRek5EBhoD</t>
  </si>
  <si>
    <t>GEnwhiRek5EBhoD</t>
  </si>
  <si>
    <t>SEnvHkv0ikTUBtw</t>
  </si>
  <si>
    <t>SEnyIAcochsRbku</t>
  </si>
  <si>
    <t>GEnyIAcochsRbku</t>
  </si>
  <si>
    <t>SEnAOmSg8BrPU7B</t>
  </si>
  <si>
    <t>GEnAOmSg8BrPU7B</t>
  </si>
  <si>
    <t>SEncYkIlCWpTi7w</t>
  </si>
  <si>
    <t>GEncYkIlCWpTi7w</t>
  </si>
  <si>
    <t>SEnoXdVWlZVfTle</t>
  </si>
  <si>
    <t>GEnoXdVWlZVfTle</t>
  </si>
  <si>
    <t>SEnVycK3F0obnPg</t>
  </si>
  <si>
    <t>GEnVycK3F0obnPg</t>
  </si>
  <si>
    <t>gfoudon</t>
  </si>
  <si>
    <t>score</t>
  </si>
  <si>
    <t>secondes</t>
  </si>
  <si>
    <t>nom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</si>
</sst>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542925</xdr:colOff>
          <xdr:row>15</xdr:row>
          <xdr:rowOff>123825</xdr:rowOff>
        </xdr:from>
        <xdr:to>
          <xdr:col>19</xdr:col>
          <xdr:colOff>200025</xdr:colOff>
          <xdr:row>20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programme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F1:X8"/>
  <sheetViews>
    <sheetView workbookViewId="0">
      <selection activeCell="Q1" sqref="Q1"/>
    </sheetView>
  </sheetViews>
  <sheetFormatPr baseColWidth="10" defaultColWidth="9.140625" defaultRowHeight="15" x14ac:dyDescent="0.25"/>
  <cols>
    <col min="6" max="6" width="28.7109375" customWidth="1"/>
    <col min="20" max="20" width="21.140625" customWidth="1"/>
    <col min="21" max="21" width="26.5703125" customWidth="1"/>
    <col min="22" max="22" width="16.85546875" customWidth="1"/>
  </cols>
  <sheetData>
    <row r="1" spans="6:24" x14ac:dyDescent="0.25">
      <c r="F1" t="s">
        <v>134</v>
      </c>
      <c r="G1">
        <v>80</v>
      </c>
      <c r="H1">
        <v>68</v>
      </c>
      <c r="I1">
        <v>72</v>
      </c>
      <c r="J1">
        <v>180</v>
      </c>
      <c r="M1">
        <f>H1 + J1</f>
        <v>248</v>
      </c>
      <c r="N1">
        <f>G1 + I1</f>
        <v>152</v>
      </c>
      <c r="Q1" t="str">
        <f t="shared" ref="Q1:Q8" si="0">IF((COUNTIFS(K:K,"&lt;" &amp; M1,K:K,"&gt;" &amp; G1,L:L,"&lt;" &amp; N1,L:L,"&gt;" &amp; H1) &gt; 0),F1,"")</f>
        <v/>
      </c>
      <c r="R1">
        <v>40</v>
      </c>
      <c r="S1">
        <v>98</v>
      </c>
      <c r="T1" t="s">
        <v>134</v>
      </c>
      <c r="U1" t="s">
        <v>130</v>
      </c>
      <c r="V1" t="s">
        <v>142</v>
      </c>
      <c r="X1" t="s">
        <v>143</v>
      </c>
    </row>
    <row r="2" spans="6:24" x14ac:dyDescent="0.25">
      <c r="F2" t="s">
        <v>135</v>
      </c>
      <c r="G2">
        <v>80</v>
      </c>
      <c r="H2">
        <v>494</v>
      </c>
      <c r="I2">
        <v>72</v>
      </c>
      <c r="J2">
        <v>180</v>
      </c>
      <c r="M2">
        <f>H2 + J2</f>
        <v>674</v>
      </c>
      <c r="N2">
        <f>G2 + I2</f>
        <v>152</v>
      </c>
      <c r="Q2" t="str">
        <f t="shared" si="0"/>
        <v/>
      </c>
      <c r="R2">
        <v>40</v>
      </c>
      <c r="S2">
        <v>524</v>
      </c>
      <c r="T2" t="s">
        <v>135</v>
      </c>
      <c r="U2" t="s">
        <v>130</v>
      </c>
      <c r="V2" t="s">
        <v>144</v>
      </c>
      <c r="X2" t="s">
        <v>145</v>
      </c>
    </row>
    <row r="3" spans="6:24" x14ac:dyDescent="0.25">
      <c r="F3" t="s">
        <v>136</v>
      </c>
      <c r="G3">
        <v>862</v>
      </c>
      <c r="H3">
        <v>624</v>
      </c>
      <c r="I3">
        <v>72</v>
      </c>
      <c r="J3">
        <v>180</v>
      </c>
      <c r="M3">
        <f t="shared" ref="M3:N8" si="1">G3 + I3</f>
        <v>934</v>
      </c>
      <c r="N3">
        <f t="shared" si="1"/>
        <v>804</v>
      </c>
      <c r="Q3" t="str">
        <f t="shared" si="0"/>
        <v/>
      </c>
      <c r="R3">
        <v>842</v>
      </c>
      <c r="S3">
        <v>654</v>
      </c>
      <c r="T3" t="s">
        <v>136</v>
      </c>
      <c r="U3" t="s">
        <v>131</v>
      </c>
      <c r="V3" t="s">
        <v>146</v>
      </c>
      <c r="X3" t="s">
        <v>145</v>
      </c>
    </row>
    <row r="4" spans="6:24" x14ac:dyDescent="0.25">
      <c r="F4" t="s">
        <v>137</v>
      </c>
      <c r="G4">
        <v>862</v>
      </c>
      <c r="H4">
        <v>608</v>
      </c>
      <c r="I4">
        <v>72</v>
      </c>
      <c r="J4">
        <v>180</v>
      </c>
      <c r="M4">
        <f t="shared" si="1"/>
        <v>934</v>
      </c>
      <c r="N4">
        <f t="shared" si="1"/>
        <v>788</v>
      </c>
      <c r="Q4" t="str">
        <f t="shared" si="0"/>
        <v/>
      </c>
      <c r="R4">
        <v>842</v>
      </c>
      <c r="S4">
        <v>638</v>
      </c>
      <c r="T4" t="s">
        <v>137</v>
      </c>
      <c r="U4" t="s">
        <v>131</v>
      </c>
      <c r="V4" t="s">
        <v>147</v>
      </c>
      <c r="X4" t="s">
        <v>148</v>
      </c>
    </row>
    <row r="5" spans="6:24" x14ac:dyDescent="0.25">
      <c r="F5" t="s">
        <v>138</v>
      </c>
      <c r="G5">
        <v>784</v>
      </c>
      <c r="H5">
        <v>80</v>
      </c>
      <c r="I5">
        <v>72</v>
      </c>
      <c r="J5">
        <v>180</v>
      </c>
      <c r="M5">
        <f t="shared" si="1"/>
        <v>856</v>
      </c>
      <c r="N5">
        <f t="shared" si="1"/>
        <v>260</v>
      </c>
      <c r="Q5" t="str">
        <f t="shared" si="0"/>
        <v/>
      </c>
      <c r="R5">
        <v>754</v>
      </c>
      <c r="S5">
        <v>100</v>
      </c>
      <c r="T5" t="s">
        <v>138</v>
      </c>
      <c r="U5" t="s">
        <v>132</v>
      </c>
      <c r="V5" t="s">
        <v>149</v>
      </c>
      <c r="X5" t="s">
        <v>150</v>
      </c>
    </row>
    <row r="6" spans="6:24" x14ac:dyDescent="0.25">
      <c r="F6" t="s">
        <v>139</v>
      </c>
      <c r="G6">
        <v>615</v>
      </c>
      <c r="H6">
        <v>80</v>
      </c>
      <c r="I6">
        <v>72</v>
      </c>
      <c r="J6">
        <v>180</v>
      </c>
      <c r="M6">
        <f t="shared" si="1"/>
        <v>687</v>
      </c>
      <c r="N6">
        <f t="shared" si="1"/>
        <v>260</v>
      </c>
      <c r="Q6" t="str">
        <f t="shared" si="0"/>
        <v/>
      </c>
      <c r="R6">
        <v>585</v>
      </c>
      <c r="S6">
        <v>100</v>
      </c>
      <c r="T6" t="s">
        <v>139</v>
      </c>
      <c r="U6" t="s">
        <v>132</v>
      </c>
      <c r="V6" t="s">
        <v>151</v>
      </c>
      <c r="X6" t="s">
        <v>152</v>
      </c>
    </row>
    <row r="7" spans="6:24" x14ac:dyDescent="0.25">
      <c r="F7" t="s">
        <v>140</v>
      </c>
      <c r="G7">
        <v>130</v>
      </c>
      <c r="H7">
        <v>581.5</v>
      </c>
      <c r="I7">
        <v>72</v>
      </c>
      <c r="J7">
        <v>180</v>
      </c>
      <c r="M7">
        <f t="shared" si="1"/>
        <v>202</v>
      </c>
      <c r="N7">
        <f t="shared" si="1"/>
        <v>761.5</v>
      </c>
      <c r="Q7" t="str">
        <f t="shared" si="0"/>
        <v/>
      </c>
      <c r="R7">
        <v>100</v>
      </c>
      <c r="S7">
        <v>601.5</v>
      </c>
      <c r="T7" t="s">
        <v>140</v>
      </c>
      <c r="U7" t="s">
        <v>133</v>
      </c>
      <c r="V7" t="s">
        <v>153</v>
      </c>
      <c r="X7" t="s">
        <v>154</v>
      </c>
    </row>
    <row r="8" spans="6:24" x14ac:dyDescent="0.25">
      <c r="F8" t="s">
        <v>141</v>
      </c>
      <c r="G8">
        <v>633</v>
      </c>
      <c r="H8">
        <v>581.5</v>
      </c>
      <c r="I8">
        <v>72</v>
      </c>
      <c r="J8">
        <v>180</v>
      </c>
      <c r="M8">
        <f t="shared" si="1"/>
        <v>705</v>
      </c>
      <c r="N8">
        <f t="shared" si="1"/>
        <v>761.5</v>
      </c>
      <c r="Q8" t="str">
        <f t="shared" si="0"/>
        <v/>
      </c>
      <c r="R8">
        <v>603</v>
      </c>
      <c r="S8">
        <v>601.5</v>
      </c>
      <c r="T8" t="s">
        <v>141</v>
      </c>
      <c r="U8" t="s">
        <v>133</v>
      </c>
      <c r="V8" t="s">
        <v>155</v>
      </c>
      <c r="X8" t="s">
        <v>156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marrerBtn">
                <anchor moveWithCells="1" sizeWithCells="1">
                  <from>
                    <xdr:col>16</xdr:col>
                    <xdr:colOff>542925</xdr:colOff>
                    <xdr:row>15</xdr:row>
                    <xdr:rowOff>123825</xdr:rowOff>
                  </from>
                  <to>
                    <xdr:col>19</xdr:col>
                    <xdr:colOff>200025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59"/>
  <sheetViews>
    <sheetView topLeftCell="A4" workbookViewId="0">
      <selection activeCell="A4" sqref="A4"/>
    </sheetView>
  </sheetViews>
  <sheetFormatPr baseColWidth="10" defaultRowHeight="15" x14ac:dyDescent="0.25"/>
  <sheetData>
    <row r="1" spans="1:5" x14ac:dyDescent="0.25">
      <c r="A1" t="s">
        <v>20</v>
      </c>
    </row>
    <row r="2" spans="1:5" x14ac:dyDescent="0.25">
      <c r="A2" t="s">
        <v>126</v>
      </c>
      <c r="B2" t="s">
        <v>63</v>
      </c>
      <c r="C2" t="str">
        <f>IF(VLOOKUP(B2,Grades!A1:B20,2,FALSE) = 0,Grades!J5,VLOOKUP(B2,Grades!A1:B20,2,FALSE))</f>
        <v>D:\Profils\goudon.marie\Bureau\grades\cln.jpg</v>
      </c>
    </row>
    <row r="3" spans="1:5" x14ac:dyDescent="0.25">
      <c r="A3" t="s">
        <v>127</v>
      </c>
      <c r="B3" t="s">
        <v>60</v>
      </c>
      <c r="C3" t="str">
        <f>IF(VLOOKUP(B3,Grades!A1:B20,2,FALSE) = 0,Grades!J5,VLOOKUP(B3,Grades!A1:B20,2,FALSE))</f>
        <v>D:\Profils\goudon.marie\Bureau\grades\lcl.jpg</v>
      </c>
    </row>
    <row r="4" spans="1:5" x14ac:dyDescent="0.25">
      <c r="A4" t="s">
        <v>128</v>
      </c>
      <c r="B4" t="s">
        <v>57</v>
      </c>
      <c r="C4" t="str">
        <f>IF(VLOOKUP(B4,Grades!A1:B20,2,FALSE) = 0,Grades!J5,VLOOKUP(B4,Grades!A1:B20,2,FALSE))</f>
        <v>D:\Profils\goudon.marie\Bureau\grades\commanda.jpg</v>
      </c>
    </row>
    <row r="5" spans="1:5" x14ac:dyDescent="0.25">
      <c r="A5" t="s">
        <v>129</v>
      </c>
      <c r="B5" t="s">
        <v>68</v>
      </c>
      <c r="C5" t="str">
        <f>IF(VLOOKUP(B5,Grades!A1:B20,2,FALSE) = 0,Grades!J5,VLOOKUP(B5,Grades!A1:B20,2,FALSE))</f>
        <v>D:\Profils\goudon.marie\Bureau\grades\cne.jpg</v>
      </c>
    </row>
    <row r="6" spans="1:5" x14ac:dyDescent="0.25">
      <c r="A6" t="s">
        <v>103</v>
      </c>
      <c r="B6" t="s">
        <v>65</v>
      </c>
      <c r="C6" t="str">
        <f>IF(VLOOKUP(B6,Grades!A1:B20,2,FALSE) = 0,Grades!J5,VLOOKUP(B6,Grades!A1:B20,2,FALSE))</f>
        <v>D:\Profils\goudon.marie\Bureau\grades\sansgalon.jpg</v>
      </c>
    </row>
    <row r="7" spans="1:5" x14ac:dyDescent="0.25">
      <c r="A7" t="s">
        <v>104</v>
      </c>
      <c r="B7" t="s">
        <v>43</v>
      </c>
      <c r="C7" t="str">
        <f>IF(VLOOKUP(B7,Grades!A1:B20,2,FALSE) = 0,Grades!J5,VLOOKUP(B7,Grades!A1:B20,2,FALSE))</f>
        <v>D:\Profils\goudon.marie\Bureau\grades\mjr.jpg</v>
      </c>
      <c r="E7">
        <f>COUNTA(A:A)</f>
        <v>59</v>
      </c>
    </row>
    <row r="8" spans="1:5" x14ac:dyDescent="0.25">
      <c r="A8" t="s">
        <v>105</v>
      </c>
      <c r="B8" t="s">
        <v>69</v>
      </c>
      <c r="C8" t="str">
        <f>IF(VLOOKUP(B8,Grades!A1:B20,2,FALSE) = 0,Grades!J5,VLOOKUP(B8,Grades!A1:B20,2,FALSE))</f>
        <v>D:\Profils\goudon.marie\Bureau\grades\adj.jpg</v>
      </c>
    </row>
    <row r="9" spans="1:5" x14ac:dyDescent="0.25">
      <c r="A9" t="s">
        <v>106</v>
      </c>
      <c r="B9" t="s">
        <v>43</v>
      </c>
      <c r="C9" t="str">
        <f>IF(VLOOKUP(B9,Grades!A1:B20,2,FALSE) = 0,Grades!J5,VLOOKUP(B9,Grades!A1:B20,2,FALSE))</f>
        <v>D:\Profils\goudon.marie\Bureau\grades\mjr.jpg</v>
      </c>
    </row>
    <row r="10" spans="1:5" x14ac:dyDescent="0.25">
      <c r="A10" t="s">
        <v>107</v>
      </c>
      <c r="B10" t="s">
        <v>30</v>
      </c>
      <c r="C10" t="str">
        <f>IF(VLOOKUP(B10,Grades!A1:B20,2,FALSE) = 0,Grades!J5,VLOOKUP(B10,Grades!A1:B20,2,FALSE))</f>
        <v>D:\Profils\goudon.marie\Bureau\grades\cc1.jpg</v>
      </c>
    </row>
    <row r="11" spans="1:5" x14ac:dyDescent="0.25">
      <c r="A11" t="s">
        <v>108</v>
      </c>
      <c r="B11" t="s">
        <v>21</v>
      </c>
      <c r="C11" t="str">
        <f>IF(VLOOKUP(B11,Grades!A1:B20,2,FALSE) = 0,Grades!J5,VLOOKUP(B11,Grades!A1:B20,2,FALSE))</f>
        <v>D:\Profils\goudon.marie\Bureau\grades\1CL.jpg</v>
      </c>
    </row>
    <row r="12" spans="1:5" x14ac:dyDescent="0.25">
      <c r="A12" t="s">
        <v>109</v>
      </c>
      <c r="B12" t="s">
        <v>69</v>
      </c>
      <c r="C12" t="str">
        <f>IF(VLOOKUP(B12,Grades!A1:B20,2,FALSE) = 0,Grades!J5,VLOOKUP(B12,Grades!A1:B20,2,FALSE))</f>
        <v>D:\Profils\goudon.marie\Bureau\grades\adj.jpg</v>
      </c>
    </row>
    <row r="13" spans="1:5" x14ac:dyDescent="0.25">
      <c r="A13" t="s">
        <v>110</v>
      </c>
      <c r="B13" t="s">
        <v>24</v>
      </c>
      <c r="C13" t="str">
        <f>IF(VLOOKUP(B13,Grades!A1:B20,2,FALSE) = 0,Grades!J5,VLOOKUP(B13,Grades!A1:B20,2,FALSE))</f>
        <v>D:\Profils\goudon.marie\Bureau\grades\CPL.jpg</v>
      </c>
    </row>
    <row r="14" spans="1:5" x14ac:dyDescent="0.25">
      <c r="A14" t="s">
        <v>87</v>
      </c>
      <c r="B14" t="s">
        <v>21</v>
      </c>
      <c r="C14" t="str">
        <f>IF(VLOOKUP(B14,Grades!A1:B20,2,FALSE) = 0,Grades!J5,VLOOKUP(B14,Grades!A1:B20,2,FALSE))</f>
        <v>D:\Profils\goudon.marie\Bureau\grades\1CL.jpg</v>
      </c>
    </row>
    <row r="15" spans="1:5" x14ac:dyDescent="0.25">
      <c r="A15" t="s">
        <v>88</v>
      </c>
      <c r="B15" t="s">
        <v>67</v>
      </c>
      <c r="C15" t="str">
        <f>IF(VLOOKUP(B15,Grades!A1:B20,2,FALSE) = 0,Grades!J5,VLOOKUP(B15,Grades!A1:B20,2,FALSE))</f>
        <v>D:\Profils\goudon.marie\Bureau\grades\sansgalon.jpg</v>
      </c>
    </row>
    <row r="16" spans="1:5" x14ac:dyDescent="0.25">
      <c r="A16" t="s">
        <v>89</v>
      </c>
      <c r="B16" t="s">
        <v>40</v>
      </c>
      <c r="C16" t="str">
        <f>IF(VLOOKUP(B16,Grades!A1:B20,2,FALSE) = 0,Grades!J5,VLOOKUP(B16,Grades!A1:B20,2,FALSE))</f>
        <v>D:\Profils\goudon.marie\Bureau\grades\adc.jpg</v>
      </c>
    </row>
    <row r="17" spans="1:3" x14ac:dyDescent="0.25">
      <c r="A17" t="s">
        <v>90</v>
      </c>
      <c r="B17" t="s">
        <v>32</v>
      </c>
      <c r="C17" t="str">
        <f>IF(VLOOKUP(B17,Grades!A1:B20,2,FALSE) = 0,Grades!J5,VLOOKUP(B17,Grades!A1:B20,2,FALSE))</f>
        <v>D:\Profils\goudon.marie\Bureau\grades\SGT.jpg</v>
      </c>
    </row>
    <row r="18" spans="1:3" x14ac:dyDescent="0.25">
      <c r="A18" t="s">
        <v>91</v>
      </c>
      <c r="B18" t="s">
        <v>24</v>
      </c>
      <c r="C18" t="str">
        <f>IF(VLOOKUP(B18,Grades!A1:B20,2,FALSE) = 0,Grades!J5,VLOOKUP(B18,Grades!A1:B20,2,FALSE))</f>
        <v>D:\Profils\goudon.marie\Bureau\grades\CPL.jpg</v>
      </c>
    </row>
    <row r="19" spans="1:3" x14ac:dyDescent="0.25">
      <c r="A19" t="s">
        <v>92</v>
      </c>
      <c r="B19" t="s">
        <v>21</v>
      </c>
      <c r="C19" t="str">
        <f>IF(VLOOKUP(B19,Grades!A1:B20,2,FALSE) = 0,Grades!J5,VLOOKUP(B19,Grades!A1:B20,2,FALSE))</f>
        <v>D:\Profils\goudon.marie\Bureau\grades\1CL.jpg</v>
      </c>
    </row>
    <row r="20" spans="1:3" x14ac:dyDescent="0.25">
      <c r="A20" t="s">
        <v>93</v>
      </c>
      <c r="B20" t="s">
        <v>21</v>
      </c>
      <c r="C20" t="str">
        <f>IF(VLOOKUP(B20,Grades!A1:B20,2,FALSE) = 0,Grades!J5,VLOOKUP(B20,Grades!A1:B20,2,FALSE))</f>
        <v>D:\Profils\goudon.marie\Bureau\grades\1CL.jpg</v>
      </c>
    </row>
    <row r="21" spans="1:3" x14ac:dyDescent="0.25">
      <c r="A21" t="s">
        <v>94</v>
      </c>
      <c r="B21" t="s">
        <v>69</v>
      </c>
      <c r="C21" t="str">
        <f>IF(VLOOKUP(B21,Grades!A1:B20,2,FALSE) = 0,Grades!J5,VLOOKUP(B21,Grades!A1:B20,2,FALSE))</f>
        <v>D:\Profils\goudon.marie\Bureau\grades\adj.jpg</v>
      </c>
    </row>
    <row r="22" spans="1:3" x14ac:dyDescent="0.25">
      <c r="A22" t="s">
        <v>95</v>
      </c>
      <c r="B22" t="s">
        <v>24</v>
      </c>
      <c r="C22" t="str">
        <f>IF(VLOOKUP(B22,Grades!A1:B20,2,FALSE) = 0,Grades!J5,VLOOKUP(B22,Grades!A1:B20,2,FALSE))</f>
        <v>D:\Profils\goudon.marie\Bureau\grades\CPL.jpg</v>
      </c>
    </row>
    <row r="23" spans="1:3" x14ac:dyDescent="0.25">
      <c r="A23" t="s">
        <v>96</v>
      </c>
      <c r="B23" t="s">
        <v>24</v>
      </c>
      <c r="C23" t="str">
        <f>IF(VLOOKUP(B23,Grades!A1:B20,2,FALSE) = 0,Grades!J5,VLOOKUP(B23,Grades!A1:B20,2,FALSE))</f>
        <v>D:\Profils\goudon.marie\Bureau\grades\CPL.jpg</v>
      </c>
    </row>
    <row r="24" spans="1:3" x14ac:dyDescent="0.25">
      <c r="A24" t="s">
        <v>97</v>
      </c>
      <c r="B24" t="s">
        <v>21</v>
      </c>
      <c r="C24" t="str">
        <f>IF(VLOOKUP(B24,Grades!A1:B20,2,FALSE) = 0,Grades!J5,VLOOKUP(B24,Grades!A1:B20,2,FALSE))</f>
        <v>D:\Profils\goudon.marie\Bureau\grades\1CL.jpg</v>
      </c>
    </row>
    <row r="25" spans="1:3" x14ac:dyDescent="0.25">
      <c r="A25" t="s">
        <v>98</v>
      </c>
      <c r="B25" t="s">
        <v>21</v>
      </c>
      <c r="C25" t="str">
        <f>IF(VLOOKUP(B25,Grades!A1:B20,2,FALSE) = 0,Grades!J5,VLOOKUP(B25,Grades!A1:B20,2,FALSE))</f>
        <v>D:\Profils\goudon.marie\Bureau\grades\1CL.jpg</v>
      </c>
    </row>
    <row r="26" spans="1:3" x14ac:dyDescent="0.25">
      <c r="A26" t="s">
        <v>99</v>
      </c>
      <c r="B26" t="s">
        <v>21</v>
      </c>
      <c r="C26" t="str">
        <f>IF(VLOOKUP(B26,Grades!A1:B20,2,FALSE) = 0,Grades!J5,VLOOKUP(B26,Grades!A1:B20,2,FALSE))</f>
        <v>D:\Profils\goudon.marie\Bureau\grades\1CL.jpg</v>
      </c>
    </row>
    <row r="27" spans="1:3" x14ac:dyDescent="0.25">
      <c r="A27" t="s">
        <v>100</v>
      </c>
      <c r="B27" t="s">
        <v>65</v>
      </c>
      <c r="C27" t="str">
        <f>IF(VLOOKUP(B27,Grades!A1:B20,2,FALSE) = 0,Grades!J5,VLOOKUP(B27,Grades!A1:B20,2,FALSE))</f>
        <v>D:\Profils\goudon.marie\Bureau\grades\sansgalon.jpg</v>
      </c>
    </row>
    <row r="28" spans="1:3" x14ac:dyDescent="0.25">
      <c r="A28" t="s">
        <v>101</v>
      </c>
      <c r="B28" t="s">
        <v>66</v>
      </c>
      <c r="C28" t="str">
        <f>IF(VLOOKUP(B28,Grades!A1:B20,2,FALSE) = 0,Grades!J5,VLOOKUP(B28,Grades!A1:B20,2,FALSE))</f>
        <v>D:\Profils\goudon.marie\Bureau\grades\sansgalon.jpg</v>
      </c>
    </row>
    <row r="29" spans="1:3" x14ac:dyDescent="0.25">
      <c r="A29" t="s">
        <v>102</v>
      </c>
      <c r="B29" t="s">
        <v>66</v>
      </c>
      <c r="C29" t="str">
        <f>IF(VLOOKUP(B29,Grades!A1:B20,2,FALSE) = 0,Grades!J5,VLOOKUP(B29,Grades!A1:B20,2,FALSE))</f>
        <v>D:\Profils\goudon.marie\Bureau\grades\sansgalon.jpg</v>
      </c>
    </row>
    <row r="30" spans="1:3" x14ac:dyDescent="0.25">
      <c r="A30" t="s">
        <v>111</v>
      </c>
      <c r="B30" t="s">
        <v>112</v>
      </c>
      <c r="C30" t="str">
        <f>IF(VLOOKUP(B30,Grades!A1:B20,2,FALSE) = 0,Grades!J5,VLOOKUP(B30,Grades!A1:B20,2,FALSE))</f>
        <v>D:\Profils\goudon.marie\Bureau\grades\cne.jpg</v>
      </c>
    </row>
    <row r="31" spans="1:3" x14ac:dyDescent="0.25">
      <c r="A31" t="s">
        <v>113</v>
      </c>
      <c r="B31" t="s">
        <v>68</v>
      </c>
      <c r="C31" t="str">
        <f>IF(VLOOKUP(B31,Grades!A1:B20,2,FALSE) = 0,Grades!J5,VLOOKUP(B31,Grades!A1:B20,2,FALSE))</f>
        <v>D:\Profils\goudon.marie\Bureau\grades\cne.jpg</v>
      </c>
    </row>
    <row r="32" spans="1:3" x14ac:dyDescent="0.25">
      <c r="A32" t="s">
        <v>114</v>
      </c>
      <c r="B32" t="s">
        <v>40</v>
      </c>
      <c r="C32" t="str">
        <f>IF(VLOOKUP(B32,Grades!A1:B20,2,FALSE) = 0,Grades!J5,VLOOKUP(B32,Grades!A1:B20,2,FALSE))</f>
        <v>D:\Profils\goudon.marie\Bureau\grades\adc.jpg</v>
      </c>
    </row>
    <row r="33" spans="1:3" x14ac:dyDescent="0.25">
      <c r="A33" t="s">
        <v>115</v>
      </c>
      <c r="B33" t="s">
        <v>40</v>
      </c>
      <c r="C33" t="str">
        <f>IF(VLOOKUP(B33,Grades!A1:B20,2,FALSE) = 0,Grades!J5,VLOOKUP(B33,Grades!A1:B20,2,FALSE))</f>
        <v>D:\Profils\goudon.marie\Bureau\grades\adc.jpg</v>
      </c>
    </row>
    <row r="34" spans="1:3" x14ac:dyDescent="0.25">
      <c r="A34" t="s">
        <v>116</v>
      </c>
      <c r="B34" t="s">
        <v>69</v>
      </c>
      <c r="C34" t="str">
        <f>IF(VLOOKUP(B34,Grades!A1:B20,2,FALSE) = 0,Grades!J5,VLOOKUP(B34,Grades!A1:B20,2,FALSE))</f>
        <v>D:\Profils\goudon.marie\Bureau\grades\adj.jpg</v>
      </c>
    </row>
    <row r="35" spans="1:3" x14ac:dyDescent="0.25">
      <c r="A35" t="s">
        <v>117</v>
      </c>
      <c r="B35" t="s">
        <v>35</v>
      </c>
      <c r="C35" t="str">
        <f>IF(VLOOKUP(B35,Grades!A1:B20,2,FALSE) = 0,Grades!J5,VLOOKUP(B35,Grades!A1:B20,2,FALSE))</f>
        <v>D:\Profils\goudon.marie\Bureau\grades\SCH.jpg</v>
      </c>
    </row>
    <row r="36" spans="1:3" x14ac:dyDescent="0.25">
      <c r="A36" t="s">
        <v>118</v>
      </c>
      <c r="B36" t="s">
        <v>32</v>
      </c>
      <c r="C36" t="str">
        <f>IF(VLOOKUP(B36,Grades!A1:B20,2,FALSE) = 0,Grades!J5,VLOOKUP(B36,Grades!A1:B20,2,FALSE))</f>
        <v>D:\Profils\goudon.marie\Bureau\grades\SGT.jpg</v>
      </c>
    </row>
    <row r="37" spans="1:3" x14ac:dyDescent="0.25">
      <c r="A37" t="s">
        <v>119</v>
      </c>
      <c r="B37" t="s">
        <v>30</v>
      </c>
      <c r="C37" t="str">
        <f>IF(VLOOKUP(B37,Grades!A1:B20,2,FALSE) = 0,Grades!J5,VLOOKUP(B37,Grades!A1:B20,2,FALSE))</f>
        <v>D:\Profils\goudon.marie\Bureau\grades\cc1.jpg</v>
      </c>
    </row>
    <row r="38" spans="1:3" x14ac:dyDescent="0.25">
      <c r="A38" t="s">
        <v>120</v>
      </c>
      <c r="B38" t="s">
        <v>24</v>
      </c>
      <c r="C38" t="str">
        <f>IF(VLOOKUP(B38,Grades!A1:B20,2,FALSE) = 0,Grades!J5,VLOOKUP(B38,Grades!A1:B20,2,FALSE))</f>
        <v>D:\Profils\goudon.marie\Bureau\grades\CPL.jpg</v>
      </c>
    </row>
    <row r="39" spans="1:3" x14ac:dyDescent="0.25">
      <c r="A39" t="s">
        <v>121</v>
      </c>
      <c r="B39" t="s">
        <v>24</v>
      </c>
      <c r="C39" t="str">
        <f>IF(VLOOKUP(B39,Grades!A1:B20,2,FALSE) = 0,Grades!J5,VLOOKUP(B39,Grades!A1:B20,2,FALSE))</f>
        <v>D:\Profils\goudon.marie\Bureau\grades\CPL.jpg</v>
      </c>
    </row>
    <row r="40" spans="1:3" x14ac:dyDescent="0.25">
      <c r="A40" t="s">
        <v>122</v>
      </c>
      <c r="B40" t="s">
        <v>24</v>
      </c>
      <c r="C40" t="str">
        <f>IF(VLOOKUP(B40,Grades!A1:B20,2,FALSE) = 0,Grades!J5,VLOOKUP(B40,Grades!A1:B20,2,FALSE))</f>
        <v>D:\Profils\goudon.marie\Bureau\grades\CPL.jpg</v>
      </c>
    </row>
    <row r="41" spans="1:3" x14ac:dyDescent="0.25">
      <c r="A41" t="s">
        <v>123</v>
      </c>
      <c r="B41" t="s">
        <v>21</v>
      </c>
      <c r="C41" t="str">
        <f>IF(VLOOKUP(B41,Grades!A1:B20,2,FALSE) = 0,Grades!J5,VLOOKUP(B41,Grades!A1:B20,2,FALSE))</f>
        <v>D:\Profils\goudon.marie\Bureau\grades\1CL.jpg</v>
      </c>
    </row>
    <row r="42" spans="1:3" x14ac:dyDescent="0.25">
      <c r="A42" t="s">
        <v>124</v>
      </c>
      <c r="B42" t="s">
        <v>21</v>
      </c>
      <c r="C42" t="str">
        <f>IF(VLOOKUP(B42,Grades!A1:B20,2,FALSE) = 0,Grades!J5,VLOOKUP(B42,Grades!A1:B20,2,FALSE))</f>
        <v>D:\Profils\goudon.marie\Bureau\grades\1CL.jpg</v>
      </c>
    </row>
    <row r="43" spans="1:3" x14ac:dyDescent="0.25">
      <c r="A43" t="s">
        <v>125</v>
      </c>
      <c r="B43" t="s">
        <v>21</v>
      </c>
      <c r="C43" t="str">
        <f>IF(VLOOKUP(B43,Grades!A1:B20,2,FALSE) = 0,Grades!J5,VLOOKUP(B43,Grades!A1:B20,2,FALSE))</f>
        <v>D:\Profils\goudon.marie\Bureau\grades\1CL.jpg</v>
      </c>
    </row>
    <row r="44" spans="1:3" x14ac:dyDescent="0.25">
      <c r="A44" t="s">
        <v>71</v>
      </c>
      <c r="B44" t="s">
        <v>21</v>
      </c>
      <c r="C44" t="str">
        <f>IF(VLOOKUP(B44,Grades!A1:B20,2,FALSE) = 0,Grades!J5,VLOOKUP(B44,Grades!A1:B20,2,FALSE))</f>
        <v>D:\Profils\goudon.marie\Bureau\grades\1CL.jpg</v>
      </c>
    </row>
    <row r="45" spans="1:3" x14ac:dyDescent="0.25">
      <c r="A45" t="s">
        <v>72</v>
      </c>
      <c r="B45" t="s">
        <v>21</v>
      </c>
      <c r="C45" t="str">
        <f>IF(VLOOKUP(B45,Grades!A1:B20,2,FALSE) = 0,Grades!J5,VLOOKUP(B45,Grades!A1:B20,2,FALSE))</f>
        <v>D:\Profils\goudon.marie\Bureau\grades\1CL.jpg</v>
      </c>
    </row>
    <row r="46" spans="1:3" x14ac:dyDescent="0.25">
      <c r="A46" t="s">
        <v>73</v>
      </c>
      <c r="B46" t="s">
        <v>21</v>
      </c>
      <c r="C46" t="str">
        <f>IF(VLOOKUP(B46,Grades!A1:B20,2,FALSE) = 0,Grades!J5,VLOOKUP(B46,Grades!A1:B20,2,FALSE))</f>
        <v>D:\Profils\goudon.marie\Bureau\grades\1CL.jpg</v>
      </c>
    </row>
    <row r="47" spans="1:3" x14ac:dyDescent="0.25">
      <c r="A47" t="s">
        <v>74</v>
      </c>
      <c r="B47" t="s">
        <v>21</v>
      </c>
      <c r="C47" t="str">
        <f>IF(VLOOKUP(B47,Grades!A1:B20,2,FALSE) = 0,Grades!J5,VLOOKUP(B47,Grades!A1:B20,2,FALSE))</f>
        <v>D:\Profils\goudon.marie\Bureau\grades\1CL.jpg</v>
      </c>
    </row>
    <row r="48" spans="1:3" x14ac:dyDescent="0.25">
      <c r="A48" t="s">
        <v>75</v>
      </c>
      <c r="B48" t="s">
        <v>40</v>
      </c>
      <c r="C48" t="str">
        <f>IF(VLOOKUP(B48,Grades!A1:B20,2,FALSE) = 0,Grades!J5,VLOOKUP(B48,Grades!A1:B20,2,FALSE))</f>
        <v>D:\Profils\goudon.marie\Bureau\grades\adc.jpg</v>
      </c>
    </row>
    <row r="49" spans="1:3" x14ac:dyDescent="0.25">
      <c r="A49" t="s">
        <v>76</v>
      </c>
      <c r="B49" t="s">
        <v>68</v>
      </c>
      <c r="C49" t="str">
        <f>IF(VLOOKUP(B49,Grades!A1:B20,2,FALSE) = 0,Grades!J5,VLOOKUP(B49,Grades!A1:B20,2,FALSE))</f>
        <v>D:\Profils\goudon.marie\Bureau\grades\cne.jpg</v>
      </c>
    </row>
    <row r="50" spans="1:3" x14ac:dyDescent="0.25">
      <c r="A50" t="s">
        <v>77</v>
      </c>
      <c r="B50" t="s">
        <v>69</v>
      </c>
      <c r="C50" t="str">
        <f>IF(VLOOKUP(B50,Grades!A1:B20,2,FALSE) = 0,Grades!J5,VLOOKUP(B50,Grades!A1:B20,2,FALSE))</f>
        <v>D:\Profils\goudon.marie\Bureau\grades\adj.jpg</v>
      </c>
    </row>
    <row r="51" spans="1:3" x14ac:dyDescent="0.25">
      <c r="A51" t="s">
        <v>78</v>
      </c>
      <c r="B51" t="s">
        <v>68</v>
      </c>
      <c r="C51" t="str">
        <f>IF(VLOOKUP(B51,Grades!A1:B20,2,FALSE) = 0,Grades!J5,VLOOKUP(B51,Grades!A1:B20,2,FALSE))</f>
        <v>D:\Profils\goudon.marie\Bureau\grades\cne.jpg</v>
      </c>
    </row>
    <row r="52" spans="1:3" x14ac:dyDescent="0.25">
      <c r="A52" t="s">
        <v>79</v>
      </c>
      <c r="B52" t="s">
        <v>40</v>
      </c>
      <c r="C52" t="str">
        <f>IF(VLOOKUP(B52,Grades!A1:B20,2,FALSE) = 0,Grades!J5,VLOOKUP(B52,Grades!A1:B20,2,FALSE))</f>
        <v>D:\Profils\goudon.marie\Bureau\grades\adc.jpg</v>
      </c>
    </row>
    <row r="53" spans="1:3" x14ac:dyDescent="0.25">
      <c r="A53" t="s">
        <v>80</v>
      </c>
      <c r="B53" t="s">
        <v>35</v>
      </c>
      <c r="C53" t="str">
        <f>IF(VLOOKUP(B53,Grades!A1:B20,2,FALSE) = 0,Grades!J5,VLOOKUP(B53,Grades!A1:B20,2,FALSE))</f>
        <v>D:\Profils\goudon.marie\Bureau\grades\SCH.jpg</v>
      </c>
    </row>
    <row r="54" spans="1:3" x14ac:dyDescent="0.25">
      <c r="A54" t="s">
        <v>81</v>
      </c>
      <c r="B54" t="s">
        <v>60</v>
      </c>
      <c r="C54" t="str">
        <f>IF(VLOOKUP(B54,Grades!A1:B20,2,FALSE) = 0,Grades!J5,VLOOKUP(B54,Grades!A1:B20,2,FALSE))</f>
        <v>D:\Profils\goudon.marie\Bureau\grades\lcl.jpg</v>
      </c>
    </row>
    <row r="55" spans="1:3" x14ac:dyDescent="0.25">
      <c r="A55" t="s">
        <v>82</v>
      </c>
      <c r="B55" t="s">
        <v>24</v>
      </c>
      <c r="C55" t="str">
        <f>IF(VLOOKUP(B55,Grades!A1:B20,2,FALSE) = 0,Grades!J5,VLOOKUP(B55,Grades!A1:B20,2,FALSE))</f>
        <v>D:\Profils\goudon.marie\Bureau\grades\CPL.jpg</v>
      </c>
    </row>
    <row r="56" spans="1:3" x14ac:dyDescent="0.25">
      <c r="A56" t="s">
        <v>83</v>
      </c>
      <c r="B56" t="s">
        <v>69</v>
      </c>
      <c r="C56" t="str">
        <f>IF(VLOOKUP(B56,Grades!A1:B20,2,FALSE) = 0,Grades!J5,VLOOKUP(B56,Grades!A1:B20,2,FALSE))</f>
        <v>D:\Profils\goudon.marie\Bureau\grades\adj.jpg</v>
      </c>
    </row>
    <row r="57" spans="1:3" x14ac:dyDescent="0.25">
      <c r="A57" t="s">
        <v>84</v>
      </c>
      <c r="B57" t="s">
        <v>35</v>
      </c>
      <c r="C57" t="str">
        <f>IF(VLOOKUP(B57,Grades!A1:B20,2,FALSE) = 0,Grades!J5,VLOOKUP(B57,Grades!A1:B20,2,FALSE))</f>
        <v>D:\Profils\goudon.marie\Bureau\grades\SCH.jpg</v>
      </c>
    </row>
    <row r="58" spans="1:3" x14ac:dyDescent="0.25">
      <c r="A58" t="s">
        <v>85</v>
      </c>
      <c r="B58" t="s">
        <v>66</v>
      </c>
      <c r="C58" t="str">
        <f>IF(VLOOKUP(B58,Grades!A1:B20,2,FALSE) = 0,Grades!J5,VLOOKUP(B58,Grades!A1:B20,2,FALSE))</f>
        <v>D:\Profils\goudon.marie\Bureau\grades\sansgalon.jpg</v>
      </c>
    </row>
    <row r="59" spans="1:3" x14ac:dyDescent="0.25">
      <c r="A59" t="s">
        <v>86</v>
      </c>
      <c r="B59" t="s">
        <v>21</v>
      </c>
      <c r="C59" t="str">
        <f>IF(VLOOKUP(B59,Grades!A1:B20,2,FALSE) = 0,Grades!J5,VLOOKUP(B59,Grades!A1:B20,2,FALSE))</f>
        <v>D:\Profils\goudon.marie\Bureau\grades\1CL.jpg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J20"/>
  <sheetViews>
    <sheetView workbookViewId="0">
      <selection activeCell="B23" sqref="B23"/>
    </sheetView>
  </sheetViews>
  <sheetFormatPr baseColWidth="10" defaultRowHeight="15" x14ac:dyDescent="0.25"/>
  <cols>
    <col min="2" max="2" width="73.5703125" customWidth="1"/>
  </cols>
  <sheetData>
    <row r="1" spans="1:10" x14ac:dyDescent="0.25">
      <c r="A1" t="s">
        <v>21</v>
      </c>
      <c r="B1" t="s">
        <v>22</v>
      </c>
      <c r="C1" t="s">
        <v>23</v>
      </c>
    </row>
    <row r="2" spans="1:10" x14ac:dyDescent="0.25">
      <c r="A2" t="s">
        <v>24</v>
      </c>
      <c r="B2" t="s">
        <v>25</v>
      </c>
      <c r="C2" t="s">
        <v>26</v>
      </c>
    </row>
    <row r="3" spans="1:10" x14ac:dyDescent="0.25">
      <c r="A3" t="s">
        <v>27</v>
      </c>
      <c r="B3" t="s">
        <v>28</v>
      </c>
      <c r="C3" t="s">
        <v>29</v>
      </c>
    </row>
    <row r="4" spans="1:10" x14ac:dyDescent="0.25">
      <c r="A4" t="s">
        <v>30</v>
      </c>
      <c r="B4" t="s">
        <v>31</v>
      </c>
      <c r="C4" t="s">
        <v>29</v>
      </c>
    </row>
    <row r="5" spans="1:10" x14ac:dyDescent="0.25">
      <c r="A5" t="s">
        <v>32</v>
      </c>
      <c r="B5" t="s">
        <v>33</v>
      </c>
      <c r="C5" t="s">
        <v>34</v>
      </c>
      <c r="J5" t="s">
        <v>70</v>
      </c>
    </row>
    <row r="6" spans="1:10" x14ac:dyDescent="0.25">
      <c r="A6" t="s">
        <v>35</v>
      </c>
      <c r="B6" t="s">
        <v>36</v>
      </c>
      <c r="C6" t="s">
        <v>37</v>
      </c>
    </row>
    <row r="7" spans="1:10" x14ac:dyDescent="0.25">
      <c r="A7" t="s">
        <v>69</v>
      </c>
      <c r="B7" t="s">
        <v>38</v>
      </c>
      <c r="C7" t="s">
        <v>39</v>
      </c>
    </row>
    <row r="8" spans="1:10" x14ac:dyDescent="0.25">
      <c r="A8" t="s">
        <v>40</v>
      </c>
      <c r="B8" t="s">
        <v>41</v>
      </c>
      <c r="C8" t="s">
        <v>42</v>
      </c>
    </row>
    <row r="9" spans="1:10" x14ac:dyDescent="0.25">
      <c r="A9" t="s">
        <v>43</v>
      </c>
      <c r="B9" t="s">
        <v>44</v>
      </c>
      <c r="C9" t="s">
        <v>45</v>
      </c>
    </row>
    <row r="10" spans="1:10" x14ac:dyDescent="0.25">
      <c r="A10" t="s">
        <v>46</v>
      </c>
      <c r="B10" t="s">
        <v>47</v>
      </c>
      <c r="C10" t="s">
        <v>48</v>
      </c>
    </row>
    <row r="11" spans="1:10" x14ac:dyDescent="0.25">
      <c r="A11" t="s">
        <v>49</v>
      </c>
      <c r="B11" t="s">
        <v>50</v>
      </c>
      <c r="C11" t="s">
        <v>51</v>
      </c>
    </row>
    <row r="12" spans="1:10" x14ac:dyDescent="0.25">
      <c r="A12" t="s">
        <v>52</v>
      </c>
      <c r="B12" t="s">
        <v>53</v>
      </c>
      <c r="C12" t="s">
        <v>54</v>
      </c>
    </row>
    <row r="13" spans="1:10" x14ac:dyDescent="0.25">
      <c r="A13" t="s">
        <v>68</v>
      </c>
      <c r="B13" t="s">
        <v>55</v>
      </c>
      <c r="C13" t="s">
        <v>56</v>
      </c>
    </row>
    <row r="14" spans="1:10" x14ac:dyDescent="0.25">
      <c r="A14" t="s">
        <v>57</v>
      </c>
      <c r="B14" t="s">
        <v>58</v>
      </c>
      <c r="C14" t="s">
        <v>59</v>
      </c>
    </row>
    <row r="15" spans="1:10" x14ac:dyDescent="0.25">
      <c r="A15" t="s">
        <v>60</v>
      </c>
      <c r="B15" t="s">
        <v>61</v>
      </c>
      <c r="C15" t="s">
        <v>62</v>
      </c>
    </row>
    <row r="16" spans="1:10" x14ac:dyDescent="0.25">
      <c r="A16" t="s">
        <v>63</v>
      </c>
      <c r="B16" t="s">
        <v>64</v>
      </c>
      <c r="C16" t="s">
        <v>62</v>
      </c>
    </row>
    <row r="17" spans="1:2" x14ac:dyDescent="0.25">
      <c r="A17" t="s">
        <v>65</v>
      </c>
    </row>
    <row r="18" spans="1:2" x14ac:dyDescent="0.25">
      <c r="A18" t="s">
        <v>66</v>
      </c>
    </row>
    <row r="19" spans="1:2" x14ac:dyDescent="0.25">
      <c r="A19" t="s">
        <v>67</v>
      </c>
    </row>
    <row r="20" spans="1:2" x14ac:dyDescent="0.25">
      <c r="A20" t="s">
        <v>112</v>
      </c>
      <c r="B20" t="s">
        <v>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2"/>
  <sheetViews>
    <sheetView tabSelected="1" workbookViewId="0">
      <selection activeCell="M16" sqref="M16"/>
    </sheetView>
  </sheetViews>
  <sheetFormatPr baseColWidth="10" defaultRowHeight="15" x14ac:dyDescent="0.25"/>
  <sheetData>
    <row r="1" spans="1:15" x14ac:dyDescent="0.25">
      <c r="A1" t="s">
        <v>158</v>
      </c>
      <c r="B1" t="s">
        <v>159</v>
      </c>
      <c r="C1" t="s">
        <v>160</v>
      </c>
    </row>
    <row r="2" spans="1:15" x14ac:dyDescent="0.25">
      <c r="A2">
        <v>0</v>
      </c>
      <c r="B2">
        <v>5</v>
      </c>
      <c r="C2" t="s">
        <v>157</v>
      </c>
      <c r="O2" s="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P8"/>
  <sheetViews>
    <sheetView workbookViewId="0">
      <selection activeCell="O2" sqref="O2"/>
    </sheetView>
  </sheetViews>
  <sheetFormatPr baseColWidth="10" defaultRowHeight="15" x14ac:dyDescent="0.25"/>
  <sheetData>
    <row r="1" spans="1:16" x14ac:dyDescent="0.25">
      <c r="A1" t="s">
        <v>8</v>
      </c>
      <c r="B1">
        <v>430</v>
      </c>
      <c r="C1">
        <v>150</v>
      </c>
      <c r="D1">
        <v>24</v>
      </c>
      <c r="E1">
        <v>72</v>
      </c>
      <c r="F1" t="s">
        <v>0</v>
      </c>
      <c r="G1">
        <v>156</v>
      </c>
      <c r="H1">
        <v>576</v>
      </c>
      <c r="I1">
        <v>72</v>
      </c>
      <c r="J1">
        <v>180</v>
      </c>
      <c r="K1">
        <f>B1 + D1/2</f>
        <v>442</v>
      </c>
      <c r="L1">
        <f>C1</f>
        <v>150</v>
      </c>
      <c r="M1">
        <f>H1 + J1</f>
        <v>756</v>
      </c>
      <c r="N1">
        <f>G1 + I1</f>
        <v>228</v>
      </c>
      <c r="O1" s="1">
        <f>COUNTIFS(H:H,"&lt;"&amp;L1,N:N,"&gt;"&amp;L1,M:M,"&gt;"&amp;K1,G:G,"&lt;"&amp;K1)</f>
        <v>0</v>
      </c>
      <c r="P1" t="s">
        <v>9</v>
      </c>
    </row>
    <row r="2" spans="1:16" x14ac:dyDescent="0.25">
      <c r="A2" t="s">
        <v>10</v>
      </c>
      <c r="B2">
        <v>124</v>
      </c>
      <c r="C2">
        <v>482</v>
      </c>
      <c r="D2">
        <v>36</v>
      </c>
      <c r="E2">
        <v>30</v>
      </c>
      <c r="F2" t="s">
        <v>1</v>
      </c>
      <c r="G2">
        <v>156</v>
      </c>
      <c r="H2">
        <v>574</v>
      </c>
      <c r="I2">
        <v>72</v>
      </c>
      <c r="J2">
        <v>180</v>
      </c>
      <c r="K2">
        <f>B2 + D2/2</f>
        <v>142</v>
      </c>
      <c r="L2">
        <f>C2</f>
        <v>482</v>
      </c>
      <c r="M2">
        <f>H2 + J2</f>
        <v>754</v>
      </c>
      <c r="N2">
        <f>G2 + I2</f>
        <v>228</v>
      </c>
      <c r="O2" s="1">
        <f>COUNTIFS(H:H,"&lt;"&amp;L2,N:N,"&gt;"&amp;L2,M:M,"&gt;"&amp;K2,G:G,"&lt;"&amp;K2)</f>
        <v>0</v>
      </c>
      <c r="P2" t="s">
        <v>11</v>
      </c>
    </row>
    <row r="3" spans="1:16" x14ac:dyDescent="0.25">
      <c r="F3" t="s">
        <v>2</v>
      </c>
      <c r="G3">
        <v>988</v>
      </c>
      <c r="H3">
        <v>805</v>
      </c>
      <c r="I3">
        <v>72</v>
      </c>
      <c r="J3">
        <v>180</v>
      </c>
      <c r="M3">
        <f t="shared" ref="M3:N8" si="0">G3 + I3</f>
        <v>1060</v>
      </c>
      <c r="N3">
        <f t="shared" si="0"/>
        <v>985</v>
      </c>
    </row>
    <row r="4" spans="1:16" x14ac:dyDescent="0.25">
      <c r="F4" t="s">
        <v>3</v>
      </c>
      <c r="G4">
        <v>988</v>
      </c>
      <c r="H4">
        <v>360</v>
      </c>
      <c r="I4">
        <v>72</v>
      </c>
      <c r="J4">
        <v>180</v>
      </c>
      <c r="M4">
        <f t="shared" si="0"/>
        <v>1060</v>
      </c>
      <c r="N4">
        <f t="shared" si="0"/>
        <v>540</v>
      </c>
    </row>
    <row r="5" spans="1:16" x14ac:dyDescent="0.25">
      <c r="F5" t="s">
        <v>4</v>
      </c>
      <c r="G5">
        <v>447</v>
      </c>
      <c r="H5">
        <v>300</v>
      </c>
      <c r="I5">
        <v>72</v>
      </c>
      <c r="J5">
        <v>180</v>
      </c>
      <c r="M5">
        <f t="shared" si="0"/>
        <v>519</v>
      </c>
      <c r="N5">
        <f t="shared" si="0"/>
        <v>480</v>
      </c>
    </row>
    <row r="6" spans="1:16" x14ac:dyDescent="0.25">
      <c r="F6" t="s">
        <v>5</v>
      </c>
      <c r="G6">
        <v>739</v>
      </c>
      <c r="H6">
        <v>300</v>
      </c>
      <c r="I6">
        <v>72</v>
      </c>
      <c r="J6">
        <v>180</v>
      </c>
      <c r="M6">
        <f t="shared" si="0"/>
        <v>811</v>
      </c>
      <c r="N6">
        <f t="shared" si="0"/>
        <v>480</v>
      </c>
    </row>
    <row r="7" spans="1:16" x14ac:dyDescent="0.25">
      <c r="F7" t="s">
        <v>6</v>
      </c>
      <c r="G7">
        <v>518</v>
      </c>
      <c r="H7">
        <v>722</v>
      </c>
      <c r="I7">
        <v>72</v>
      </c>
      <c r="J7">
        <v>180</v>
      </c>
      <c r="M7">
        <f t="shared" si="0"/>
        <v>590</v>
      </c>
      <c r="N7">
        <f t="shared" si="0"/>
        <v>902</v>
      </c>
    </row>
    <row r="8" spans="1:16" x14ac:dyDescent="0.25">
      <c r="F8" t="s">
        <v>7</v>
      </c>
      <c r="G8">
        <v>478</v>
      </c>
      <c r="H8">
        <v>722</v>
      </c>
      <c r="I8">
        <v>72</v>
      </c>
      <c r="J8">
        <v>180</v>
      </c>
      <c r="M8">
        <f t="shared" si="0"/>
        <v>550</v>
      </c>
      <c r="N8">
        <f t="shared" si="0"/>
        <v>902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F1:N8"/>
  <sheetViews>
    <sheetView workbookViewId="0">
      <selection activeCell="K5" sqref="K5"/>
    </sheetView>
  </sheetViews>
  <sheetFormatPr baseColWidth="10" defaultRowHeight="15" x14ac:dyDescent="0.25"/>
  <sheetData>
    <row r="1" spans="6:14" x14ac:dyDescent="0.25">
      <c r="F1" t="s">
        <v>12</v>
      </c>
      <c r="M1">
        <f>H1 + J1</f>
        <v>0</v>
      </c>
      <c r="N1">
        <f>G1 + I1</f>
        <v>0</v>
      </c>
    </row>
    <row r="2" spans="6:14" x14ac:dyDescent="0.25">
      <c r="F2" t="s">
        <v>13</v>
      </c>
      <c r="M2">
        <f>H2 + J2</f>
        <v>0</v>
      </c>
      <c r="N2">
        <f>G2 + I2</f>
        <v>0</v>
      </c>
    </row>
    <row r="3" spans="6:14" x14ac:dyDescent="0.25">
      <c r="F3" t="s">
        <v>14</v>
      </c>
      <c r="M3">
        <f t="shared" ref="M3:N8" si="0">G3 + I3</f>
        <v>0</v>
      </c>
      <c r="N3">
        <f t="shared" si="0"/>
        <v>0</v>
      </c>
    </row>
    <row r="4" spans="6:14" x14ac:dyDescent="0.25">
      <c r="F4" t="s">
        <v>15</v>
      </c>
      <c r="M4">
        <f t="shared" si="0"/>
        <v>0</v>
      </c>
      <c r="N4">
        <f t="shared" si="0"/>
        <v>0</v>
      </c>
    </row>
    <row r="5" spans="6:14" x14ac:dyDescent="0.25">
      <c r="F5" t="s">
        <v>16</v>
      </c>
      <c r="M5">
        <f t="shared" si="0"/>
        <v>0</v>
      </c>
      <c r="N5">
        <f t="shared" si="0"/>
        <v>0</v>
      </c>
    </row>
    <row r="6" spans="6:14" x14ac:dyDescent="0.25">
      <c r="F6" t="s">
        <v>17</v>
      </c>
      <c r="M6">
        <f t="shared" si="0"/>
        <v>0</v>
      </c>
      <c r="N6">
        <f t="shared" si="0"/>
        <v>0</v>
      </c>
    </row>
    <row r="7" spans="6:14" x14ac:dyDescent="0.25">
      <c r="F7" t="s">
        <v>18</v>
      </c>
      <c r="M7">
        <f t="shared" si="0"/>
        <v>0</v>
      </c>
      <c r="N7">
        <f t="shared" si="0"/>
        <v>0</v>
      </c>
    </row>
    <row r="8" spans="6:14" x14ac:dyDescent="0.25">
      <c r="F8" t="s">
        <v>19</v>
      </c>
      <c r="M8">
        <f t="shared" si="0"/>
        <v>0</v>
      </c>
      <c r="N8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test</vt:lpstr>
      <vt:lpstr>Feuil1</vt:lpstr>
      <vt:lpstr>combattant</vt:lpstr>
      <vt:lpstr>Grades</vt:lpstr>
      <vt:lpstr>Score</vt:lpstr>
      <vt:lpstr>Feuil3</vt:lpstr>
      <vt:lpstr>Feuil4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2022-12-16T12:31:36Z</dcterms:modified>
</cp:coreProperties>
</file>